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TATA\Downloads\"/>
    </mc:Choice>
  </mc:AlternateContent>
  <xr:revisionPtr revIDLastSave="0" documentId="8_{E06540DC-B534-47E8-84A2-325BD58446DD}" xr6:coauthVersionLast="47" xr6:coauthVersionMax="47" xr10:uidLastSave="{00000000-0000-0000-0000-000000000000}"/>
  <bookViews>
    <workbookView xWindow="-120" yWindow="-120" windowWidth="29040" windowHeight="15720" activeTab="1" xr2:uid="{7E52D9C7-823B-4264-9BB3-57991D056630}"/>
  </bookViews>
  <sheets>
    <sheet name="STATUS REFERENCE" sheetId="1" r:id="rId1"/>
    <sheet name="REFEREMCE" sheetId="2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6" i="1" l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<sst xmlns="http://schemas.openxmlformats.org/spreadsheetml/2006/main" count="1022" uniqueCount="354">
  <si>
    <t>CH CODE PATTERN</t>
  </si>
  <si>
    <t>PLACEMENT</t>
  </si>
  <si>
    <t>RANK</t>
  </si>
  <si>
    <t>Status</t>
  </si>
  <si>
    <t>ACTION CODE</t>
  </si>
  <si>
    <t>CLIENT STATUS</t>
  </si>
  <si>
    <t>ADDRESS STATUS</t>
  </si>
  <si>
    <t>UNIT STATUS</t>
  </si>
  <si>
    <t>RFD</t>
  </si>
  <si>
    <t>FV RANK</t>
  </si>
  <si>
    <t>UNIQUE STATUS</t>
  </si>
  <si>
    <t>NEGATIVE</t>
  </si>
  <si>
    <t>Uncontactable</t>
  </si>
  <si>
    <t>CBSWOA</t>
  </si>
  <si>
    <t>WRITEOFF</t>
  </si>
  <si>
    <t>FIELD - KEPT_FULL UPDATE</t>
  </si>
  <si>
    <t>WITH_PTP</t>
  </si>
  <si>
    <t>POSITIVE</t>
  </si>
  <si>
    <t>Late Collection</t>
  </si>
  <si>
    <t>POS_CLIENT REFUSED TO TALK</t>
  </si>
  <si>
    <t>No Intention of Paying</t>
  </si>
  <si>
    <t>CBSCAA</t>
  </si>
  <si>
    <t>CURING</t>
  </si>
  <si>
    <t>VIBER - KEPT_FULL UPDATE</t>
  </si>
  <si>
    <t>PTP_PTP - PAYMENT</t>
  </si>
  <si>
    <t>CBSRRA</t>
  </si>
  <si>
    <t>RECOV</t>
  </si>
  <si>
    <t>CALL - KEPT_PARTIAL</t>
  </si>
  <si>
    <t>POS W/C_FIELD - UNIT DAMAGE OR WRECK</t>
  </si>
  <si>
    <t>Wrecked Unit</t>
  </si>
  <si>
    <t>VIBER - KEPT_PARTIAL</t>
  </si>
  <si>
    <t>PTP_PTP - FOLLOW UP VISIT</t>
  </si>
  <si>
    <t>CALL - KEPT_REPO CLIENT</t>
  </si>
  <si>
    <t>REPO</t>
  </si>
  <si>
    <t>POS W/C_CLIENT REFUSED TO TALK</t>
  </si>
  <si>
    <t>REPO AI - KEPT_REPO 3RD PARTY</t>
  </si>
  <si>
    <t>REPO_REPO</t>
  </si>
  <si>
    <t>CALL - KEPT_PUSH BACK</t>
  </si>
  <si>
    <t>POS_UPDATING</t>
  </si>
  <si>
    <t>Claiming Updated</t>
  </si>
  <si>
    <t>CALL - KEPT_FULL UPDATE</t>
  </si>
  <si>
    <t>POS_REFUSED TO TALK</t>
  </si>
  <si>
    <t>REPO AI - KEPT_FULL UPDATE</t>
  </si>
  <si>
    <t>PTP_PTP - REPO</t>
  </si>
  <si>
    <t>REPO AI - KEPT_REPO CLIENT</t>
  </si>
  <si>
    <t>POS_NEW ADDRESS</t>
  </si>
  <si>
    <t>UNIT</t>
  </si>
  <si>
    <t>FIELD - KEPT_REPO 3RD PARTY</t>
  </si>
  <si>
    <t>PTP_ON THE SPOT</t>
  </si>
  <si>
    <t>FIELD - PTP_FULL UPDATE</t>
  </si>
  <si>
    <t>ECA_PTP</t>
  </si>
  <si>
    <t>PTP_THRU FOLLOW UP</t>
  </si>
  <si>
    <t>FIELD - PTP REPO</t>
  </si>
  <si>
    <t>POS W/C_NEW ADDRESS</t>
  </si>
  <si>
    <t>VIBER - PTP FULL UPDATE</t>
  </si>
  <si>
    <t>POS W/C_REFUSED TO TALK</t>
  </si>
  <si>
    <t>CALL - PTP FULL UPDATE</t>
  </si>
  <si>
    <t>POS_NEW HOUSE ADDRESS</t>
  </si>
  <si>
    <t>HRCHY</t>
  </si>
  <si>
    <t>CALL - PTP REPO</t>
  </si>
  <si>
    <t>POS_THRU FOLLOW UP</t>
  </si>
  <si>
    <t>CALL - PTP PARTIAL</t>
  </si>
  <si>
    <t>NEG_REFUSED TO TALK</t>
  </si>
  <si>
    <t>POSITIVE (MOVE OUT)</t>
  </si>
  <si>
    <t>EMAIL - PTP FULL UPDATE</t>
  </si>
  <si>
    <t>POS_ON THE SPOT TO 3RD PARTY-UNCOOPERATIVE</t>
  </si>
  <si>
    <t>POSITIVE (NOT AROUND)</t>
  </si>
  <si>
    <t>REPO AI - PTP REPO</t>
  </si>
  <si>
    <t>POS_ON THE SPOT</t>
  </si>
  <si>
    <t>POSITIVE (UNKNOWN)</t>
  </si>
  <si>
    <t>CALL - PTP PUSH BACK</t>
  </si>
  <si>
    <t>POS_CLAIMING FULLY PAID</t>
  </si>
  <si>
    <t>REPO AI - PTP FULL UPDATE</t>
  </si>
  <si>
    <t>TP_OTS TO CLIENT-TEMPORARY FINANCIALY INCAPACITATED</t>
  </si>
  <si>
    <t>Sick</t>
  </si>
  <si>
    <t>FFV</t>
  </si>
  <si>
    <t>EMAIL - PTP_PARTIAL</t>
  </si>
  <si>
    <t>POS_OTS TO CLIENT-NO INTENTION OF PAYING</t>
  </si>
  <si>
    <t>CALL - UNIT_ASSUMED</t>
  </si>
  <si>
    <t>NEGO</t>
  </si>
  <si>
    <t>With Assumer</t>
  </si>
  <si>
    <t>POS_IRATE</t>
  </si>
  <si>
    <t>CALL - UNDERNEGO</t>
  </si>
  <si>
    <t>TP_ON THE SPOT</t>
  </si>
  <si>
    <t>VIBER - FOLLOW UP MESSAGE</t>
  </si>
  <si>
    <t>FPTP</t>
  </si>
  <si>
    <t>POS W/C_0</t>
  </si>
  <si>
    <t>Claiming Carnap</t>
  </si>
  <si>
    <t>CALL - UNIT DAMAGE OR WRECK</t>
  </si>
  <si>
    <t>NIOP</t>
  </si>
  <si>
    <t>POS W/C_NEW HOUSE ADDRESS</t>
  </si>
  <si>
    <t>Late Remittance</t>
  </si>
  <si>
    <t>CALL - UNIT_CARNAPPED</t>
  </si>
  <si>
    <t>TP_UNDERNEGO</t>
  </si>
  <si>
    <t>Jobless</t>
  </si>
  <si>
    <t>VIBER - RESPONSIVE</t>
  </si>
  <si>
    <t>TP_UNDERNEGOTIATION</t>
  </si>
  <si>
    <t>CALL - FOLLOW UP KOR</t>
  </si>
  <si>
    <t>POS_CLIENT DECEASED</t>
  </si>
  <si>
    <t>Deceased</t>
  </si>
  <si>
    <t>CALL - FOLLOW UP COMPLIANT</t>
  </si>
  <si>
    <t>NEG_DECEASED</t>
  </si>
  <si>
    <t>EMAIL - RESPONSIVE</t>
  </si>
  <si>
    <t>POS_ABANDONED</t>
  </si>
  <si>
    <t>CARAVAN - FOLLOW UP COMPLIANT</t>
  </si>
  <si>
    <t>POS_DECEASED</t>
  </si>
  <si>
    <t>SMS - RESPONSIVE</t>
  </si>
  <si>
    <t>NEG_CLIENT MOVED OUT</t>
  </si>
  <si>
    <t>CALL - CLAIMING PAID</t>
  </si>
  <si>
    <t>SMALL_CLAIMS</t>
  </si>
  <si>
    <t>NEG_CLIENT RESIGNED</t>
  </si>
  <si>
    <t>Under Insurance Claim</t>
  </si>
  <si>
    <t>VIBER - UNIT ASSUMED</t>
  </si>
  <si>
    <t>POS_HOUSE ABANDONED</t>
  </si>
  <si>
    <t>Out of the Country/Out of Town</t>
  </si>
  <si>
    <t>CALL - FOLLOW UP UNCONTACTABLE</t>
  </si>
  <si>
    <t>NEG_OOTC - MIGRATED</t>
  </si>
  <si>
    <t>Busy</t>
  </si>
  <si>
    <t>VIBER - FOLLOW UP COMPLIANT</t>
  </si>
  <si>
    <t>POS_MOVED OUT</t>
  </si>
  <si>
    <t>SKIP - SMEDIA ACCOUNT</t>
  </si>
  <si>
    <t>SKIP_SOCIAL_MEDIA</t>
  </si>
  <si>
    <t>NEG_RESIGNED</t>
  </si>
  <si>
    <t>VIBER - DELIVERED</t>
  </si>
  <si>
    <t>SMS</t>
  </si>
  <si>
    <t>NEG_OOTC (OUT OF THE COUNTRY)</t>
  </si>
  <si>
    <t>CARAVAN - CLIENT OUT OF AREA</t>
  </si>
  <si>
    <t>OCA</t>
  </si>
  <si>
    <t>POS_OOTC - MIGRATED</t>
  </si>
  <si>
    <t>VIBER - BOUNCED</t>
  </si>
  <si>
    <t>NEG_MOVE TO OTHER BRANCH</t>
  </si>
  <si>
    <t>FIELD - LEAVE_MESSAGE TO 3RD PARTY</t>
  </si>
  <si>
    <t>LM</t>
  </si>
  <si>
    <t>POS_CLIENT OUT OF AREA</t>
  </si>
  <si>
    <t>POS W/C_CLIENT OUT OF AREA</t>
  </si>
  <si>
    <t>VIBER - READ</t>
  </si>
  <si>
    <t>POS_CLIENT OUT OF THE COUNTRY</t>
  </si>
  <si>
    <t>VIBER - PENDING</t>
  </si>
  <si>
    <t>POS W/C_FIELD - HOUSED CLOSED VERIFIED</t>
  </si>
  <si>
    <t>VIBER - PARTIAL</t>
  </si>
  <si>
    <t>PTP</t>
  </si>
  <si>
    <t>TP_LEAVE A MESSAGE</t>
  </si>
  <si>
    <t>SKIP - CONTACT NUMBER</t>
  </si>
  <si>
    <t>TP_CLAIMING FULLY PAID</t>
  </si>
  <si>
    <t>SMS SENT - TEXT CLIENT</t>
  </si>
  <si>
    <t>POS_CLIENT OUT OF OFFICE</t>
  </si>
  <si>
    <t>CALL - NEG_KOR</t>
  </si>
  <si>
    <t>NIS_KOR_CBR</t>
  </si>
  <si>
    <t>POS_OUT OF AREA</t>
  </si>
  <si>
    <t>CALL - POS_LEAVE MSG TO 3RD PARTY</t>
  </si>
  <si>
    <t>TP_CARNAPPED</t>
  </si>
  <si>
    <t>CALL - POS_KOR</t>
  </si>
  <si>
    <t>POS_UNOCCUPIED - VERIFIED ADDRESS</t>
  </si>
  <si>
    <t>CALL - POS_CBR</t>
  </si>
  <si>
    <t>TP_UNIT WITH ASSUMER</t>
  </si>
  <si>
    <t>CALL - POS_BUSY</t>
  </si>
  <si>
    <t>POS W/C_OUT OF AREA</t>
  </si>
  <si>
    <t>NEG_OOTC - WORKING</t>
  </si>
  <si>
    <t>CALL - POS_DROPPED</t>
  </si>
  <si>
    <t>POS_OUT OF AREA - NOT AROUND</t>
  </si>
  <si>
    <t>SMS - POS_SENT MESSAGE</t>
  </si>
  <si>
    <t>POS W/C_OUT OF THE COUNTRY</t>
  </si>
  <si>
    <t>CALL - POS_UNATTENDED</t>
  </si>
  <si>
    <t>TP_NO INTENTION OF PAYING</t>
  </si>
  <si>
    <t>VIBER - POS_SENT A MESSAGE</t>
  </si>
  <si>
    <t>POS_OUT OF OFFICE</t>
  </si>
  <si>
    <t>CALL - NEG_CBR</t>
  </si>
  <si>
    <t>POS_OUT OF THE COUNTRY</t>
  </si>
  <si>
    <t>NEGATIVE - CBR / NIS</t>
  </si>
  <si>
    <t>TP_LEAVE MESSAGE TO 3RD PARTY</t>
  </si>
  <si>
    <t>SCHEDULE_CALLBACK - CALLBACK</t>
  </si>
  <si>
    <t>POS_IS AT WORK</t>
  </si>
  <si>
    <t>JUNK NEGATIVE - KOR</t>
  </si>
  <si>
    <t>TP_FOLLOW UP</t>
  </si>
  <si>
    <t>JUNK_NEGATIVE - KOR</t>
  </si>
  <si>
    <t>NEG_OOTC - VACATION</t>
  </si>
  <si>
    <t>JUNK NEGATIVE - NO ACTIVE NUMBER</t>
  </si>
  <si>
    <t>POS_OOT (OUT OF TOWN)</t>
  </si>
  <si>
    <t>CALL - NEG_NOT IN SERVICE</t>
  </si>
  <si>
    <t>TP_OUT OF AREA</t>
  </si>
  <si>
    <t>JUNK NEGATIVE - CANNOT BE REACHED</t>
  </si>
  <si>
    <t>POS W/C_IS AT WORK</t>
  </si>
  <si>
    <t>JUNK NEGATIVE - CALL_NIS</t>
  </si>
  <si>
    <t>NEG_IS AT WORK</t>
  </si>
  <si>
    <t>CALL - NEG_UNATTENDED</t>
  </si>
  <si>
    <t>NEG_OOT (OUT OF TOWN)</t>
  </si>
  <si>
    <t>CALL - NEG_WRONG NUMBER</t>
  </si>
  <si>
    <t>POS_IS ON LEAVE</t>
  </si>
  <si>
    <t>CALL - NEG_DROPPED</t>
  </si>
  <si>
    <t>POS_OOTC (OUT OF THE COUNTRY)</t>
  </si>
  <si>
    <t>SKIP - NEGATIVE</t>
  </si>
  <si>
    <t>TP_THRU FOLLOW UP</t>
  </si>
  <si>
    <t>CALL - NEG_BUSY</t>
  </si>
  <si>
    <t>NEG_CLAIMING FULLY PAID</t>
  </si>
  <si>
    <t>CALL - NEG_LEAVE MSG TO 3RD PARTY</t>
  </si>
  <si>
    <t>NEG_IRATE</t>
  </si>
  <si>
    <t>POS_0</t>
  </si>
  <si>
    <t>POS W/C_OUT OF AREA - NOT AROUND</t>
  </si>
  <si>
    <t>POS W/C_OOTC (OUT OF THE COUNTRY)</t>
  </si>
  <si>
    <t>SMS - NEG_SENT MESSAGE</t>
  </si>
  <si>
    <t>POS W/C_OOT (OUT OF TOWN)</t>
  </si>
  <si>
    <t>VIBER - NEG_SENT A MESSAGE</t>
  </si>
  <si>
    <t>TP_ON THE SPOT TO 3RD PARTY-UNCOOPERATIVE</t>
  </si>
  <si>
    <t>BULK SMS SENT</t>
  </si>
  <si>
    <t>POS W/C_IS ON LEAVE</t>
  </si>
  <si>
    <t>EMAIL SENT</t>
  </si>
  <si>
    <t>EMAIL</t>
  </si>
  <si>
    <t>TP_DISPUTE</t>
  </si>
  <si>
    <t>SMS SENT</t>
  </si>
  <si>
    <t>POS W/C_OUT OF OFFICE</t>
  </si>
  <si>
    <t>BUSY</t>
  </si>
  <si>
    <t>POS_HOUSE CLOSED - VERIFIED</t>
  </si>
  <si>
    <t>RNA</t>
  </si>
  <si>
    <t>NEG_CLIENT UNKNOWN</t>
  </si>
  <si>
    <t>DROPPED</t>
  </si>
  <si>
    <t>NEG_HOUSE CLOSED - UNVERIFIED</t>
  </si>
  <si>
    <t>JUNK NEGATIVE - OUT OF COVERAGE AREA</t>
  </si>
  <si>
    <t>NEG_UNOCCUPIED - UNVERIFIED ADDRESS</t>
  </si>
  <si>
    <t>FIELD - UNIT DAMAGE OR WRECK</t>
  </si>
  <si>
    <t>POS_HOUSE CLOSED VERIFIED</t>
  </si>
  <si>
    <t>NEG_UNOCCUPIED</t>
  </si>
  <si>
    <t>POS_HOUSE CLOSED-VERIFIED</t>
  </si>
  <si>
    <t>NEG_HOUSE CLOSED - CANNOT VERIFY</t>
  </si>
  <si>
    <t>POS W/C_HOUSE CLOSED VERIFIED</t>
  </si>
  <si>
    <t>NEG_ABANDONED</t>
  </si>
  <si>
    <t>NEG_HOUSE CLOSED-VERIFIED</t>
  </si>
  <si>
    <t>POS_HOUSE CLOSED - CANNOT VERIFY</t>
  </si>
  <si>
    <t>POS_UNKNOWN</t>
  </si>
  <si>
    <t>NEG_ADDRESS UNLOCATED</t>
  </si>
  <si>
    <t>POS_NOT ALLOWED TO ENTER - VERIFIED ADDRESS</t>
  </si>
  <si>
    <t>NEG_NOT ALLOWED TO ENTER - UNVERIFIED ADDRESS</t>
  </si>
  <si>
    <t>NEG_MOVED OUT</t>
  </si>
  <si>
    <t>POS_LOT ONLY - VERIFIED ADDRESS</t>
  </si>
  <si>
    <t>NEG_UNLOCATED</t>
  </si>
  <si>
    <t>NEG_LOT ONLY</t>
  </si>
  <si>
    <t>CANCEL_OUT OF AREA</t>
  </si>
  <si>
    <t>NEG_INCOMPLETE ADD, NOT PROCEEDED</t>
  </si>
  <si>
    <t>NEG_OUT OF AREA</t>
  </si>
  <si>
    <t>NEG_CRITICAL AREA</t>
  </si>
  <si>
    <t>NEG_HOLD-BY BANK</t>
  </si>
  <si>
    <t>NEG_FIELD - HOUSED CLOSED VERIFIED</t>
  </si>
  <si>
    <t xml:space="preserve">Action Code </t>
  </si>
  <si>
    <t xml:space="preserve">Action Code Description </t>
  </si>
  <si>
    <t>ADD STAT</t>
  </si>
  <si>
    <t>Definition</t>
  </si>
  <si>
    <t>ADC</t>
  </si>
  <si>
    <t>Adhoc Contact</t>
  </si>
  <si>
    <t>LATE COLLECTION</t>
  </si>
  <si>
    <t>POSITIVE(MOVE OUT)</t>
  </si>
  <si>
    <t>POSITIVE IN GIVEN ADD BUT MOVED OUT</t>
  </si>
  <si>
    <t>AWAITING_RESULT_OF_FV</t>
  </si>
  <si>
    <t>AWAITING RESULT OF FIELD VISIT</t>
  </si>
  <si>
    <t>LATE REMITTANCE</t>
  </si>
  <si>
    <t>POSITIVE(UNKNOWN)</t>
  </si>
  <si>
    <t>POS IN GIVEN ADD BUT UNKNOWN</t>
  </si>
  <si>
    <t>BUYBACK</t>
  </si>
  <si>
    <t>FOR BUYBACK</t>
  </si>
  <si>
    <t>JOBLESS</t>
  </si>
  <si>
    <t>POSITIVE(NOT AROUND)</t>
  </si>
  <si>
    <t>POS IN GIVEN ADD BUT NOT AROUND</t>
  </si>
  <si>
    <t>COMPLAINTS</t>
  </si>
  <si>
    <t>WITH COMPLAINTS</t>
  </si>
  <si>
    <t>WITH ASSUMER</t>
  </si>
  <si>
    <t>UNLOCATED</t>
  </si>
  <si>
    <t>CPTP</t>
  </si>
  <si>
    <t>CANT PTP</t>
  </si>
  <si>
    <t>CLAIMED CARNAP</t>
  </si>
  <si>
    <t>LOCATED TALKED TO CLIENT</t>
  </si>
  <si>
    <t>DACION</t>
  </si>
  <si>
    <t>DACION EN PAGO / GIVEN BACK</t>
  </si>
  <si>
    <t>CLAIMING UPDATED</t>
  </si>
  <si>
    <t>FOR FFV</t>
  </si>
  <si>
    <t>SCHEDULE FOR FIELD VISIT</t>
  </si>
  <si>
    <t>DEATH</t>
  </si>
  <si>
    <t>CLIENT DECEASED</t>
  </si>
  <si>
    <t>NO INTENTION OF PAYING</t>
  </si>
  <si>
    <t>DEPLETED_PDC</t>
  </si>
  <si>
    <t>INSUFFICIENT PDC</t>
  </si>
  <si>
    <t>SICK</t>
  </si>
  <si>
    <t>ECA PTP</t>
  </si>
  <si>
    <t>WRECKED UNIT</t>
  </si>
  <si>
    <t>EMAIL CLIENT</t>
  </si>
  <si>
    <t>UNDER INSURANCE CLAIM</t>
  </si>
  <si>
    <t>ENDORSED_TO_ECA</t>
  </si>
  <si>
    <t>ENDORSED TO AGENCY</t>
  </si>
  <si>
    <t>OUT OF THE COUNTRY/OUT OF TOWN</t>
  </si>
  <si>
    <t>FCF</t>
  </si>
  <si>
    <t>FOR CASE FILING</t>
  </si>
  <si>
    <t>FOR FILED VISIT</t>
  </si>
  <si>
    <t>FORECLOSURE</t>
  </si>
  <si>
    <t>UNCONTACTABLE</t>
  </si>
  <si>
    <t>FOR_REPO</t>
  </si>
  <si>
    <t>FOR REPOSSESION</t>
  </si>
  <si>
    <t>DECEASED</t>
  </si>
  <si>
    <t>FOLLOW UP PTP</t>
  </si>
  <si>
    <t>FRAUD_POSSIBLE</t>
  </si>
  <si>
    <t>FOR POSSIBLE FRAUD</t>
  </si>
  <si>
    <t>FRESH_FLOW</t>
  </si>
  <si>
    <t>FRESH FLOWED ACCOUNT</t>
  </si>
  <si>
    <t>FVS</t>
  </si>
  <si>
    <t>FOR VOLUNTARY SURRENDER</t>
  </si>
  <si>
    <t>HOLD</t>
  </si>
  <si>
    <t>FOR HOLD TAGGING</t>
  </si>
  <si>
    <t>INSURANCE_ISSUE</t>
  </si>
  <si>
    <t>INSURANCE ISSUE</t>
  </si>
  <si>
    <t>ITL</t>
  </si>
  <si>
    <t>LITIGATION</t>
  </si>
  <si>
    <t>LEFT MESSAGE</t>
  </si>
  <si>
    <t>MAINTAIN</t>
  </si>
  <si>
    <t>MOVED_OUT_NLR</t>
  </si>
  <si>
    <t>CLIENT MOVED OUT</t>
  </si>
  <si>
    <t>NCAP</t>
  </si>
  <si>
    <t>NO CAPACITY TO PAY</t>
  </si>
  <si>
    <t>ACCT IS UNDER NEGOTIATION</t>
  </si>
  <si>
    <t>INOPERATIVE CONTACT NUMBER</t>
  </si>
  <si>
    <t>OUT OF COVERAGE AREA</t>
  </si>
  <si>
    <t>ON_LEAVE</t>
  </si>
  <si>
    <t>CLIENT ON LEAVE</t>
  </si>
  <si>
    <t>PAYMENT_ISSUE</t>
  </si>
  <si>
    <t>PAYMENT ISSUE</t>
  </si>
  <si>
    <t>POSTING_ISSUE</t>
  </si>
  <si>
    <t>POSTING ISSUE</t>
  </si>
  <si>
    <t>PROCESS_ISSUE</t>
  </si>
  <si>
    <t>PROCESS ISSUE</t>
  </si>
  <si>
    <t>Promise To Pay</t>
  </si>
  <si>
    <t>REDEP_REQUEST</t>
  </si>
  <si>
    <t>REQUEST FOR REDEPOSIT OF RETURNED CHECK</t>
  </si>
  <si>
    <t>REPLEVIN_SUM_OF_MONEY</t>
  </si>
  <si>
    <t>REPLEVIN/SUM OF MONEY</t>
  </si>
  <si>
    <t>REPOSSESED</t>
  </si>
  <si>
    <t>REPO_FOR_ROPA</t>
  </si>
  <si>
    <t>FOR ROPA PROCESSING</t>
  </si>
  <si>
    <t>REPO_REDEEMED</t>
  </si>
  <si>
    <t>REDEEMED REPOSSESED AUTO</t>
  </si>
  <si>
    <t>REQUEST_FOR_LOS</t>
  </si>
  <si>
    <t>REQUEST FOR LOS</t>
  </si>
  <si>
    <t>ROPA</t>
  </si>
  <si>
    <t>ACCUMULATED ROPA</t>
  </si>
  <si>
    <t>WITH POST ON SOCIAL MEDIA</t>
  </si>
  <si>
    <t>SLET</t>
  </si>
  <si>
    <t>LETTER SENDING</t>
  </si>
  <si>
    <t>FOR FILING OF SMALL CLAIMS</t>
  </si>
  <si>
    <t>TEXT CLIENT</t>
  </si>
  <si>
    <t>SR</t>
  </si>
  <si>
    <t>Supervisory Review</t>
  </si>
  <si>
    <t>SYSTEM_ISSUE</t>
  </si>
  <si>
    <t>SYSTEM ISSUE</t>
  </si>
  <si>
    <t>UPDATED</t>
  </si>
  <si>
    <t>UPDATED ACCOUNT</t>
  </si>
  <si>
    <t>VS</t>
  </si>
  <si>
    <t>VOLUNTARY SURRENDER</t>
  </si>
  <si>
    <t>WAIVER_ISSUE</t>
  </si>
  <si>
    <t>WAIVER ISSUE</t>
  </si>
  <si>
    <t>WITH PTP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</si>
</sst>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0"/>
      <name val="Calibri"/>
      <family val="2"/>
    </font>
    <font>
      <b/>
      <sz val="11"/>
      <color rgb="FFFFFFFF"/>
      <name val="Calibri"/>
      <family val="2"/>
    </font>
    <font>
      <b/>
      <sz val="11"/>
      <name val="Aptos Narrow"/>
      <family val="2"/>
      <scheme val="minor"/>
    </font>
    <font>
      <b/>
      <sz val="11"/>
      <name val="Calibri"/>
      <family val="2"/>
    </font>
    <font>
      <sz val="11"/>
      <name val="Aptos Narrow"/>
      <family val="2"/>
      <scheme val="minor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theme="9" tint="0.79998168889431442"/>
      </patternFill>
    </fill>
  </fills>
  <borders count="7">
    <border>
      <left/>
      <right/>
      <top/>
      <bottom/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6"/>
      </left>
      <right/>
      <top style="thin">
        <color theme="6"/>
      </top>
      <bottom/>
      <diagonal/>
    </border>
    <border>
      <left/>
      <right/>
      <top style="thin">
        <color theme="6"/>
      </top>
      <bottom style="thin">
        <color theme="6"/>
      </bottom>
      <diagonal/>
    </border>
    <border>
      <left/>
      <right/>
      <top style="thin">
        <color theme="6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/>
    <xf numFmtId="0" fontId="3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0" fillId="4" borderId="1" xfId="0" applyFill="1" applyBorder="1"/>
    <xf numFmtId="0" fontId="0" fillId="0" borderId="0" xfId="0" applyAlignment="1">
      <alignment horizontal="center"/>
    </xf>
    <xf numFmtId="0" fontId="0" fillId="0" borderId="0" xfId="0" applyAlignment="1">
      <alignment horizontal="left" vertical="top"/>
    </xf>
    <xf numFmtId="0" fontId="0" fillId="0" borderId="1" xfId="0" applyBorder="1"/>
    <xf numFmtId="0" fontId="0" fillId="0" borderId="4" xfId="0" applyBorder="1"/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2" fillId="0" borderId="0" xfId="0" applyFont="1"/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 vertical="top"/>
    </xf>
    <xf numFmtId="0" fontId="7" fillId="0" borderId="0" xfId="0" applyFont="1"/>
    <xf numFmtId="0" fontId="8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PATATA\Downloads\CBS%20AUTO%20LOAN%20CURING%20MONITORING%20TEMPLATE%20FINALIST(1)(1)(1)(1)(2)(1).xlsm" TargetMode="External"/><Relationship Id="rId1" Type="http://schemas.openxmlformats.org/officeDocument/2006/relationships/externalLinkPath" Target="CBS%20AUTO%20LOAN%20CURING%20MONITORING%20TEMPLATE%20FINALIST(1)(1)(1)(1)(2)(1)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PORTS"/>
      <sheetName val="ECMS REFERENCE"/>
      <sheetName val="ECMS HIGHLIGHTS"/>
      <sheetName val="STATUS REFERENCE"/>
      <sheetName val="REFERENCE"/>
      <sheetName val="DATABASE"/>
      <sheetName val="REPO OVERALL"/>
      <sheetName val="HOLD ACCOUNTS"/>
      <sheetName val="CBS PLATES"/>
      <sheetName val="DB LITE"/>
      <sheetName val="PIVOT"/>
      <sheetName val="PREV_TBL"/>
      <sheetName val="CMS DATA"/>
      <sheetName val="BOM &amp; FRESH"/>
      <sheetName val="MONITORING"/>
      <sheetName val="FRESH"/>
      <sheetName val="PULLOUT"/>
      <sheetName val="OVERALL FIELD"/>
      <sheetName val="CONSO FIELD"/>
      <sheetName val="QUERY DB"/>
      <sheetName val="ACCOUNT STATUS"/>
      <sheetName val="DRR ECMS"/>
      <sheetName val="DRR"/>
      <sheetName val="DRR FIELD"/>
      <sheetName val="DAILY PREV"/>
      <sheetName val="OLD TRAILS"/>
      <sheetName val="NEW TRAILS"/>
      <sheetName val="DAILY STATUS"/>
      <sheetName val="PULLED OUT TAGGING"/>
      <sheetName val="PTP INVENTORY"/>
      <sheetName val="REPO"/>
      <sheetName val="PROD REPORT"/>
      <sheetName val="PTP INVENTORY II"/>
    </sheetNames>
    <sheetDataSet>
      <sheetData sheetId="0"/>
      <sheetData sheetId="1">
        <row r="1">
          <cell r="A1" t="str">
            <v>PROD_CBS Collection Services</v>
          </cell>
          <cell r="E1" t="str">
            <v>Ranking</v>
          </cell>
        </row>
        <row r="2">
          <cell r="A2" t="str">
            <v>CALL - KEPT_REPO CLIENT</v>
          </cell>
          <cell r="E2">
            <v>1</v>
          </cell>
        </row>
        <row r="3">
          <cell r="A3" t="str">
            <v>CALL - KEPT_REPO 3RD PARTY</v>
          </cell>
          <cell r="E3">
            <v>1</v>
          </cell>
        </row>
        <row r="4">
          <cell r="A4" t="str">
            <v>CALL - KEPT_FULL UPDATE</v>
          </cell>
          <cell r="E4">
            <v>1</v>
          </cell>
        </row>
        <row r="5">
          <cell r="A5" t="str">
            <v>CALL - KEPT_PUSH BACK</v>
          </cell>
          <cell r="E5">
            <v>1</v>
          </cell>
        </row>
        <row r="6">
          <cell r="A6" t="str">
            <v>CALL - KEPT_PARTIAL</v>
          </cell>
          <cell r="E6">
            <v>1</v>
          </cell>
        </row>
        <row r="7">
          <cell r="A7" t="str">
            <v>CALL -  KEPT PAYOFF</v>
          </cell>
          <cell r="E7">
            <v>1</v>
          </cell>
        </row>
        <row r="8">
          <cell r="A8" t="str">
            <v>SMS - KEPT_REPO CLIENT</v>
          </cell>
          <cell r="E8">
            <v>1</v>
          </cell>
        </row>
        <row r="9">
          <cell r="A9" t="str">
            <v>SMS - KEPT_REPO 3RD PARTY</v>
          </cell>
          <cell r="E9">
            <v>1</v>
          </cell>
        </row>
        <row r="10">
          <cell r="A10" t="str">
            <v>SMS - KEPT PAYOFF</v>
          </cell>
          <cell r="E10">
            <v>1</v>
          </cell>
        </row>
        <row r="11">
          <cell r="A11" t="str">
            <v>SMS - KEPT_FULL UPDATE</v>
          </cell>
          <cell r="E11">
            <v>1</v>
          </cell>
        </row>
        <row r="12">
          <cell r="A12" t="str">
            <v>SMS - KEPT_PUSH BACK</v>
          </cell>
          <cell r="E12">
            <v>1</v>
          </cell>
        </row>
        <row r="13">
          <cell r="A13" t="str">
            <v>SMS - KEPT_PARTIAL</v>
          </cell>
          <cell r="E13">
            <v>1</v>
          </cell>
        </row>
        <row r="14">
          <cell r="A14" t="str">
            <v>EMAIL - KEPT_ REPO CLIENT</v>
          </cell>
          <cell r="E14">
            <v>1</v>
          </cell>
        </row>
        <row r="15">
          <cell r="A15" t="str">
            <v>EMAIL - KEPT_REPO 3RD PARTY</v>
          </cell>
          <cell r="E15">
            <v>1</v>
          </cell>
        </row>
        <row r="16">
          <cell r="A16" t="str">
            <v>EMAIL - KEPT PAYOFF</v>
          </cell>
          <cell r="E16">
            <v>1</v>
          </cell>
        </row>
        <row r="17">
          <cell r="A17" t="str">
            <v>EMAIL - KEPT_FULL UPDATE</v>
          </cell>
          <cell r="E17">
            <v>1</v>
          </cell>
        </row>
        <row r="18">
          <cell r="A18" t="str">
            <v>EMAIL - KEPT_PUSH BACK</v>
          </cell>
          <cell r="E18">
            <v>1</v>
          </cell>
        </row>
        <row r="19">
          <cell r="A19" t="str">
            <v>EMAIL - KEPT_PARTIAL</v>
          </cell>
          <cell r="E19">
            <v>1</v>
          </cell>
        </row>
        <row r="20">
          <cell r="A20" t="str">
            <v>SKIP - KEPT_REPO CLIENT</v>
          </cell>
          <cell r="E20">
            <v>1</v>
          </cell>
        </row>
        <row r="21">
          <cell r="A21" t="str">
            <v>SKIP - KEPT_REPO 3RD PARTY</v>
          </cell>
          <cell r="E21">
            <v>1</v>
          </cell>
        </row>
        <row r="22">
          <cell r="A22" t="str">
            <v>SKIP - KEPT PAYOFF</v>
          </cell>
          <cell r="E22">
            <v>1</v>
          </cell>
        </row>
        <row r="23">
          <cell r="A23" t="str">
            <v>SKIP - KEPT_FULL UPDATE</v>
          </cell>
          <cell r="E23">
            <v>1</v>
          </cell>
        </row>
        <row r="24">
          <cell r="A24" t="str">
            <v>SKIP - KEPT_PUSH BACK</v>
          </cell>
          <cell r="E24">
            <v>1</v>
          </cell>
        </row>
        <row r="25">
          <cell r="A25" t="str">
            <v>SKIP - KEPT_PARTIAL</v>
          </cell>
          <cell r="E25">
            <v>1</v>
          </cell>
        </row>
        <row r="26">
          <cell r="A26" t="str">
            <v>SMEDIA - KEPT_REPO CLIENT</v>
          </cell>
          <cell r="E26">
            <v>1</v>
          </cell>
        </row>
        <row r="27">
          <cell r="A27" t="str">
            <v>SMEDIA - KEPT_REPO 3RD PARTY</v>
          </cell>
          <cell r="E27">
            <v>1</v>
          </cell>
        </row>
        <row r="28">
          <cell r="A28" t="str">
            <v>SMEDIA - KEPT PAYOFF</v>
          </cell>
          <cell r="E28">
            <v>1</v>
          </cell>
        </row>
        <row r="29">
          <cell r="A29" t="str">
            <v>SMEDIA - KEPT_FULL UPDATE</v>
          </cell>
          <cell r="E29">
            <v>1</v>
          </cell>
        </row>
        <row r="30">
          <cell r="A30" t="str">
            <v>SMEDIA - KEPT_PUSH BACK</v>
          </cell>
          <cell r="E30">
            <v>1</v>
          </cell>
        </row>
        <row r="31">
          <cell r="A31" t="str">
            <v>SMEDIA - KEPT_PARTIAL</v>
          </cell>
          <cell r="E31">
            <v>1</v>
          </cell>
        </row>
        <row r="32">
          <cell r="A32" t="str">
            <v>FIELD - KEPT_REPO CLIENT</v>
          </cell>
          <cell r="E32">
            <v>1</v>
          </cell>
        </row>
        <row r="33">
          <cell r="A33" t="str">
            <v>FIELD - KEPT_REPO 3RD PARTY</v>
          </cell>
          <cell r="E33">
            <v>1</v>
          </cell>
        </row>
        <row r="34">
          <cell r="A34" t="str">
            <v>FIELD - KEPT PAYOFF</v>
          </cell>
          <cell r="E34">
            <v>1</v>
          </cell>
        </row>
        <row r="35">
          <cell r="A35" t="str">
            <v>FIELD - KEPT_FULL UPDATE</v>
          </cell>
          <cell r="E35">
            <v>1</v>
          </cell>
        </row>
        <row r="36">
          <cell r="A36" t="str">
            <v>FIELD - KEPT_PUSH BACK</v>
          </cell>
          <cell r="E36">
            <v>1</v>
          </cell>
        </row>
        <row r="37">
          <cell r="A37" t="str">
            <v>FIELD - KEPT_PARTIAL</v>
          </cell>
          <cell r="E37">
            <v>1</v>
          </cell>
        </row>
        <row r="38">
          <cell r="A38" t="str">
            <v>CARAVAN - KEPT_REPO CLIENT</v>
          </cell>
          <cell r="E38">
            <v>1</v>
          </cell>
        </row>
        <row r="39">
          <cell r="A39" t="str">
            <v>CARAVAN - KEPT_REPO 3RD PARTY</v>
          </cell>
          <cell r="E39">
            <v>1</v>
          </cell>
        </row>
        <row r="40">
          <cell r="A40" t="str">
            <v>CARAVAN - KEPT PAYOFF</v>
          </cell>
          <cell r="E40">
            <v>1</v>
          </cell>
        </row>
        <row r="41">
          <cell r="A41" t="str">
            <v>CARAVAN - KEPT_FULL UPDATE</v>
          </cell>
          <cell r="E41">
            <v>1</v>
          </cell>
        </row>
        <row r="42">
          <cell r="A42" t="str">
            <v>CARAVAN - KEPT_PUSH BACK</v>
          </cell>
          <cell r="E42">
            <v>1</v>
          </cell>
        </row>
        <row r="43">
          <cell r="A43" t="str">
            <v>CARAVAN - KEPT_PARTIAL</v>
          </cell>
          <cell r="E43">
            <v>1</v>
          </cell>
        </row>
        <row r="44">
          <cell r="A44" t="str">
            <v>REPO AI - KEPT_REPO CLIENT</v>
          </cell>
          <cell r="E44">
            <v>1</v>
          </cell>
        </row>
        <row r="45">
          <cell r="A45" t="str">
            <v>REPO AI - KEPT_REPO 3RD PARTY</v>
          </cell>
          <cell r="E45">
            <v>1</v>
          </cell>
        </row>
        <row r="46">
          <cell r="A46" t="str">
            <v>REPO AI - KEPT PAYOFF</v>
          </cell>
          <cell r="E46">
            <v>1</v>
          </cell>
        </row>
        <row r="47">
          <cell r="A47" t="str">
            <v>REPO AI - KEPT_FULL UPDATE</v>
          </cell>
          <cell r="E47">
            <v>1</v>
          </cell>
        </row>
        <row r="48">
          <cell r="A48" t="str">
            <v>REPO AI - KEPT_PUSH BACK</v>
          </cell>
          <cell r="E48">
            <v>1</v>
          </cell>
        </row>
        <row r="49">
          <cell r="A49" t="str">
            <v>REPO AI - KEPT_PARTIAL</v>
          </cell>
          <cell r="E49">
            <v>1</v>
          </cell>
        </row>
        <row r="50">
          <cell r="A50" t="str">
            <v>VIBER - KEPT_REPO CLIENT</v>
          </cell>
          <cell r="E50">
            <v>1</v>
          </cell>
        </row>
        <row r="51">
          <cell r="A51" t="str">
            <v>VIBER - KEPT_REPO 3RD PARTY</v>
          </cell>
          <cell r="E51">
            <v>1</v>
          </cell>
        </row>
        <row r="52">
          <cell r="A52" t="str">
            <v>VIBER -  KEPT PAYOFF</v>
          </cell>
          <cell r="E52">
            <v>1</v>
          </cell>
        </row>
        <row r="53">
          <cell r="A53" t="str">
            <v>VIBER - KEPT_FULL UPDATE</v>
          </cell>
          <cell r="E53">
            <v>1</v>
          </cell>
        </row>
        <row r="54">
          <cell r="A54" t="str">
            <v>VIBER - KEPT_PUSH BACK</v>
          </cell>
          <cell r="E54">
            <v>1</v>
          </cell>
        </row>
        <row r="55">
          <cell r="A55" t="str">
            <v>VIBER - KEPT_PARTIAL</v>
          </cell>
          <cell r="E55">
            <v>1</v>
          </cell>
        </row>
        <row r="56">
          <cell r="A56" t="str">
            <v>FIELD REQUEST - OTS SURE REPO</v>
          </cell>
          <cell r="E56">
            <v>1</v>
          </cell>
        </row>
        <row r="57">
          <cell r="A57" t="str">
            <v>FIELD - KEPT_REPO 3RD PARTY</v>
          </cell>
          <cell r="E57">
            <v>1</v>
          </cell>
        </row>
        <row r="58">
          <cell r="A58" t="str">
            <v>CALL - PTP REPO</v>
          </cell>
          <cell r="E58">
            <v>1.5</v>
          </cell>
        </row>
        <row r="59">
          <cell r="A59" t="str">
            <v>CALL - PTP PAYOFF</v>
          </cell>
          <cell r="E59">
            <v>1.5</v>
          </cell>
        </row>
        <row r="60">
          <cell r="A60" t="str">
            <v>CALL - PTP FULL UPDATE</v>
          </cell>
          <cell r="E60">
            <v>1.5</v>
          </cell>
        </row>
        <row r="61">
          <cell r="A61" t="str">
            <v>CALL - PTP PUSH BACK</v>
          </cell>
          <cell r="E61">
            <v>1.5</v>
          </cell>
        </row>
        <row r="62">
          <cell r="A62" t="str">
            <v>CALL - PTP PARTIAL</v>
          </cell>
          <cell r="E62">
            <v>1.5</v>
          </cell>
        </row>
        <row r="63">
          <cell r="A63" t="str">
            <v>SMS - PTP REPO</v>
          </cell>
          <cell r="E63">
            <v>1.5</v>
          </cell>
        </row>
        <row r="64">
          <cell r="A64" t="str">
            <v>SMS - PTP PAYOFF</v>
          </cell>
          <cell r="E64">
            <v>1.5</v>
          </cell>
        </row>
        <row r="65">
          <cell r="A65" t="str">
            <v>SMS - PTP FULL UPDATE</v>
          </cell>
          <cell r="E65">
            <v>1.5</v>
          </cell>
        </row>
        <row r="66">
          <cell r="A66" t="str">
            <v>SMS - PTP PUSH BACK</v>
          </cell>
          <cell r="E66">
            <v>1.5</v>
          </cell>
        </row>
        <row r="67">
          <cell r="A67" t="str">
            <v>SMS - PTP_PARTIAL</v>
          </cell>
          <cell r="E67">
            <v>1.5</v>
          </cell>
        </row>
        <row r="68">
          <cell r="A68" t="str">
            <v>EMAIL - PTP REPO</v>
          </cell>
          <cell r="E68">
            <v>1.5</v>
          </cell>
        </row>
        <row r="69">
          <cell r="A69" t="str">
            <v>EMAIL - PTP PAYOFF</v>
          </cell>
          <cell r="E69">
            <v>1.5</v>
          </cell>
        </row>
        <row r="70">
          <cell r="A70" t="str">
            <v>EMAIL - PTP FULL UPDATE</v>
          </cell>
          <cell r="E70">
            <v>1.5</v>
          </cell>
        </row>
        <row r="71">
          <cell r="A71" t="str">
            <v>EMAIL - PTP PUSH BACK</v>
          </cell>
          <cell r="E71">
            <v>1.5</v>
          </cell>
        </row>
        <row r="72">
          <cell r="A72" t="str">
            <v>EMAIL - PTP_PARTIAL</v>
          </cell>
          <cell r="E72">
            <v>1.5</v>
          </cell>
        </row>
        <row r="73">
          <cell r="A73" t="str">
            <v>SMEDIA - PTP REPO</v>
          </cell>
          <cell r="E73">
            <v>1.5</v>
          </cell>
        </row>
        <row r="74">
          <cell r="A74" t="str">
            <v>SMEDIA - PTP PAYOFF</v>
          </cell>
          <cell r="E74">
            <v>1.5</v>
          </cell>
        </row>
        <row r="75">
          <cell r="A75" t="str">
            <v>SMEDIA - PTP FULL UPDATE</v>
          </cell>
          <cell r="E75">
            <v>1.5</v>
          </cell>
        </row>
        <row r="76">
          <cell r="A76" t="str">
            <v>SMEDIA - PTP PUSH BACK</v>
          </cell>
          <cell r="E76">
            <v>1.5</v>
          </cell>
        </row>
        <row r="77">
          <cell r="A77" t="str">
            <v>SMEDIA - PTP PARTIAL</v>
          </cell>
          <cell r="E77">
            <v>1.5</v>
          </cell>
        </row>
        <row r="78">
          <cell r="A78" t="str">
            <v>FIELD - PTP REPO</v>
          </cell>
          <cell r="E78">
            <v>1.5</v>
          </cell>
        </row>
        <row r="79">
          <cell r="A79" t="str">
            <v>FIELD - PTP_FULL UPDATE</v>
          </cell>
          <cell r="E79">
            <v>1.5</v>
          </cell>
        </row>
        <row r="80">
          <cell r="A80" t="str">
            <v>FIELD - PTP_PAYOFF</v>
          </cell>
          <cell r="E80">
            <v>1.5</v>
          </cell>
        </row>
        <row r="81">
          <cell r="A81" t="str">
            <v>FIELD - PTP_PUSHBACK</v>
          </cell>
          <cell r="E81">
            <v>1.5</v>
          </cell>
        </row>
        <row r="82">
          <cell r="A82" t="str">
            <v>FIELD - PTP_PARTIAL</v>
          </cell>
          <cell r="E82">
            <v>1.5</v>
          </cell>
        </row>
        <row r="83">
          <cell r="A83" t="str">
            <v>CARAVAN - PTP REPO</v>
          </cell>
          <cell r="E83">
            <v>1.5</v>
          </cell>
        </row>
        <row r="84">
          <cell r="A84" t="str">
            <v>CARAVAN - PTP FULL UPDATE</v>
          </cell>
          <cell r="E84">
            <v>1.5</v>
          </cell>
        </row>
        <row r="85">
          <cell r="A85" t="str">
            <v>CARAVAN - PTP PAYOFF</v>
          </cell>
          <cell r="E85">
            <v>1.5</v>
          </cell>
        </row>
        <row r="86">
          <cell r="A86" t="str">
            <v>CARAVAN - PTP PUSHBACK</v>
          </cell>
          <cell r="E86">
            <v>1.5</v>
          </cell>
        </row>
        <row r="87">
          <cell r="A87" t="str">
            <v>CARAVAN - PTP PARTIAL</v>
          </cell>
          <cell r="E87">
            <v>1.5</v>
          </cell>
        </row>
        <row r="88">
          <cell r="A88" t="str">
            <v>REPO AI - PTP REPO</v>
          </cell>
          <cell r="E88">
            <v>1.5</v>
          </cell>
        </row>
        <row r="89">
          <cell r="A89" t="str">
            <v>REPO AI - PTP FULL UPDATE</v>
          </cell>
          <cell r="E89">
            <v>1.5</v>
          </cell>
        </row>
        <row r="90">
          <cell r="A90" t="str">
            <v>REPO AI - PTP PAY OFF</v>
          </cell>
          <cell r="E90">
            <v>1.5</v>
          </cell>
        </row>
        <row r="91">
          <cell r="A91" t="str">
            <v>REPO AI - PTP PUSHBACK</v>
          </cell>
          <cell r="E91">
            <v>1.5</v>
          </cell>
        </row>
        <row r="92">
          <cell r="A92" t="str">
            <v>REPO AI - PTP PARTIAL</v>
          </cell>
          <cell r="E92">
            <v>1.5</v>
          </cell>
        </row>
        <row r="93">
          <cell r="A93" t="str">
            <v>VIBER - PTP REPO</v>
          </cell>
          <cell r="E93">
            <v>1.5</v>
          </cell>
        </row>
        <row r="94">
          <cell r="A94" t="str">
            <v>VIBER - PTP PAYOFF</v>
          </cell>
          <cell r="E94">
            <v>1.5</v>
          </cell>
        </row>
        <row r="95">
          <cell r="A95" t="str">
            <v>VIBER - PTP FULL UPDATE</v>
          </cell>
          <cell r="E95">
            <v>1.5</v>
          </cell>
        </row>
        <row r="96">
          <cell r="A96" t="str">
            <v>VIBER - PTP PUSH BACK</v>
          </cell>
          <cell r="E96">
            <v>1.5</v>
          </cell>
        </row>
        <row r="97">
          <cell r="A97" t="str">
            <v>CALL - PTP PARTIAL</v>
          </cell>
          <cell r="E97">
            <v>1.5</v>
          </cell>
        </row>
        <row r="98">
          <cell r="A98" t="str">
            <v>FIELD - PTP REPO</v>
          </cell>
          <cell r="E98">
            <v>1.5</v>
          </cell>
        </row>
        <row r="99">
          <cell r="A99" t="str">
            <v>CALL - UNDERNEGO</v>
          </cell>
          <cell r="E99">
            <v>1.75</v>
          </cell>
        </row>
        <row r="100">
          <cell r="A100" t="str">
            <v>CALL - FOLLOW UP KOR</v>
          </cell>
          <cell r="E100">
            <v>1.75</v>
          </cell>
        </row>
        <row r="101">
          <cell r="A101" t="str">
            <v>CALL - FOLLOW UP UNCONTACTABLE</v>
          </cell>
          <cell r="E101">
            <v>1.75</v>
          </cell>
        </row>
        <row r="102">
          <cell r="A102" t="str">
            <v>CALL - FOLLOW UP LMTRC</v>
          </cell>
          <cell r="E102">
            <v>1.75</v>
          </cell>
        </row>
        <row r="103">
          <cell r="A103" t="str">
            <v>CALL - FOLLOW UP COMPLIANT</v>
          </cell>
          <cell r="E103">
            <v>1.75</v>
          </cell>
        </row>
        <row r="104">
          <cell r="A104" t="str">
            <v>CALL - CLAIMING PAID</v>
          </cell>
          <cell r="E104">
            <v>1.75</v>
          </cell>
        </row>
        <row r="105">
          <cell r="A105" t="str">
            <v>CALL - INSURANCE CLAIM</v>
          </cell>
          <cell r="E105">
            <v>1.75</v>
          </cell>
        </row>
        <row r="106">
          <cell r="A106" t="str">
            <v>CALL - UNIT_IMPOUNDED</v>
          </cell>
          <cell r="E106">
            <v>1.75</v>
          </cell>
        </row>
        <row r="107">
          <cell r="A107" t="str">
            <v>CALL - UNIT UNDER HPG</v>
          </cell>
          <cell r="E107">
            <v>1.75</v>
          </cell>
        </row>
        <row r="108">
          <cell r="A108" t="str">
            <v>CALL - UNIT_ASSUMED</v>
          </cell>
          <cell r="E108">
            <v>1.75</v>
          </cell>
        </row>
        <row r="109">
          <cell r="A109" t="str">
            <v>CALL - UNIT DAMAGE OR WRECK</v>
          </cell>
          <cell r="E109">
            <v>1.75</v>
          </cell>
        </row>
        <row r="110">
          <cell r="A110" t="str">
            <v>CALL - UNIT_CARNAPPED</v>
          </cell>
          <cell r="E110">
            <v>1.75</v>
          </cell>
        </row>
        <row r="111">
          <cell r="A111" t="str">
            <v>CALL - NO INTENTION TO PAY</v>
          </cell>
          <cell r="E111">
            <v>1.75</v>
          </cell>
        </row>
        <row r="112">
          <cell r="A112" t="str">
            <v>SMS - RESPONSIVE</v>
          </cell>
          <cell r="E112">
            <v>1.75</v>
          </cell>
        </row>
        <row r="113">
          <cell r="A113" t="str">
            <v>SMS - CLAIMING PAID</v>
          </cell>
          <cell r="E113">
            <v>1.75</v>
          </cell>
        </row>
        <row r="114">
          <cell r="A114" t="str">
            <v>SMS - INSURANCE CLAIM</v>
          </cell>
          <cell r="E114">
            <v>1.75</v>
          </cell>
        </row>
        <row r="115">
          <cell r="A115" t="str">
            <v>SMS - UNIT IMPOUNDED</v>
          </cell>
          <cell r="E115">
            <v>1.75</v>
          </cell>
        </row>
        <row r="116">
          <cell r="A116" t="str">
            <v>SMS - UNDER HPG</v>
          </cell>
          <cell r="E116">
            <v>1.75</v>
          </cell>
        </row>
        <row r="117">
          <cell r="A117" t="str">
            <v>SMS - UNIT ASSUMED</v>
          </cell>
          <cell r="E117">
            <v>1.75</v>
          </cell>
        </row>
        <row r="118">
          <cell r="A118" t="str">
            <v>SMS - UNIT DAMAGE OR WRECK</v>
          </cell>
          <cell r="E118">
            <v>1.75</v>
          </cell>
        </row>
        <row r="119">
          <cell r="A119" t="str">
            <v>SMS - UNIT CARNAPPED</v>
          </cell>
          <cell r="E119">
            <v>1.75</v>
          </cell>
        </row>
        <row r="120">
          <cell r="A120" t="str">
            <v>SMS - NO INTENTION TO PAY</v>
          </cell>
          <cell r="E120">
            <v>1.75</v>
          </cell>
        </row>
        <row r="121">
          <cell r="A121" t="str">
            <v>SMS - FOLLOW UP MESSAGE</v>
          </cell>
          <cell r="E121">
            <v>1.75</v>
          </cell>
        </row>
        <row r="122">
          <cell r="A122" t="str">
            <v>SMS - FOLLOW UP COMPLIANT</v>
          </cell>
          <cell r="E122">
            <v>1.75</v>
          </cell>
        </row>
        <row r="123">
          <cell r="A123" t="str">
            <v>EMAIL - RESPONSIVE</v>
          </cell>
          <cell r="E123">
            <v>1.75</v>
          </cell>
        </row>
        <row r="124">
          <cell r="A124" t="str">
            <v>EMAIL - CLAIMING PAID</v>
          </cell>
          <cell r="E124">
            <v>1.75</v>
          </cell>
        </row>
        <row r="125">
          <cell r="A125" t="str">
            <v>EMAIL - INSURANCE CLAIM</v>
          </cell>
          <cell r="E125">
            <v>1.75</v>
          </cell>
        </row>
        <row r="126">
          <cell r="A126" t="str">
            <v>EMAIL - UNIT CARNAPPED</v>
          </cell>
          <cell r="E126">
            <v>1.75</v>
          </cell>
        </row>
        <row r="127">
          <cell r="A127" t="str">
            <v>EMAIL - UNIT UNDER HPG</v>
          </cell>
          <cell r="E127">
            <v>1.75</v>
          </cell>
        </row>
        <row r="128">
          <cell r="A128" t="str">
            <v>EMAIL - NO INTENTION TO PAY</v>
          </cell>
          <cell r="E128">
            <v>1.75</v>
          </cell>
        </row>
        <row r="129">
          <cell r="A129" t="str">
            <v>EMAIL - UNIT_IMPOUNDED</v>
          </cell>
          <cell r="E129">
            <v>1.75</v>
          </cell>
        </row>
        <row r="130">
          <cell r="A130" t="str">
            <v>EMAIL - UNIT ASSUMED</v>
          </cell>
          <cell r="E130">
            <v>1.75</v>
          </cell>
        </row>
        <row r="131">
          <cell r="A131" t="str">
            <v>EMAIL - UNIT DAMAGE OR WRECK</v>
          </cell>
          <cell r="E131">
            <v>1.75</v>
          </cell>
        </row>
        <row r="132">
          <cell r="A132" t="str">
            <v>EMAIL - FOLLOW UP MESSAGE</v>
          </cell>
          <cell r="E132">
            <v>1.75</v>
          </cell>
        </row>
        <row r="133">
          <cell r="A133" t="str">
            <v>EMAIL - FOLLOW UP COMPLIANT</v>
          </cell>
          <cell r="E133">
            <v>1.75</v>
          </cell>
        </row>
        <row r="134">
          <cell r="A134" t="str">
            <v>SMEDIA - RESPONSIVE</v>
          </cell>
          <cell r="E134">
            <v>1.75</v>
          </cell>
        </row>
        <row r="135">
          <cell r="A135" t="str">
            <v>SMEDIA - FOLLOW UP MESSAGE</v>
          </cell>
          <cell r="E135">
            <v>1.75</v>
          </cell>
        </row>
        <row r="136">
          <cell r="A136" t="str">
            <v>SMEDIA - FOLLOW UP COMPLIANT</v>
          </cell>
          <cell r="E136">
            <v>1.75</v>
          </cell>
        </row>
        <row r="137">
          <cell r="A137" t="str">
            <v>SMEDIA - CLAIMING PAID</v>
          </cell>
          <cell r="E137">
            <v>1.75</v>
          </cell>
        </row>
        <row r="138">
          <cell r="A138" t="str">
            <v>SMEDIA - INSURANCE CLAIM</v>
          </cell>
          <cell r="E138">
            <v>1.75</v>
          </cell>
        </row>
        <row r="139">
          <cell r="A139" t="str">
            <v>SMEDIA - UNIT CARNAPPED</v>
          </cell>
          <cell r="E139">
            <v>1.75</v>
          </cell>
        </row>
        <row r="140">
          <cell r="A140" t="str">
            <v>SMEDIA - UNIT UNDER HPG</v>
          </cell>
          <cell r="E140">
            <v>1.75</v>
          </cell>
        </row>
        <row r="141">
          <cell r="A141" t="str">
            <v>SMEDIA - UNIT IMPOUNDED</v>
          </cell>
          <cell r="E141">
            <v>1.75</v>
          </cell>
        </row>
        <row r="142">
          <cell r="A142" t="str">
            <v>SMEDIA - UNIT ASSUMED</v>
          </cell>
          <cell r="E142">
            <v>1.75</v>
          </cell>
        </row>
        <row r="143">
          <cell r="A143" t="str">
            <v>SMEDIA - UNIT DAMAGE OR WRECK</v>
          </cell>
          <cell r="E143">
            <v>1.75</v>
          </cell>
        </row>
        <row r="144">
          <cell r="A144" t="str">
            <v>SMEDIA - NO INTENTION TO PAY</v>
          </cell>
          <cell r="E144">
            <v>1.75</v>
          </cell>
        </row>
        <row r="145">
          <cell r="A145" t="str">
            <v>FIELD - FOLLOW UP COMPLIANT</v>
          </cell>
          <cell r="E145">
            <v>1.75</v>
          </cell>
        </row>
        <row r="146">
          <cell r="A146" t="str">
            <v>FIELD - CLAIMING PAID</v>
          </cell>
          <cell r="E146">
            <v>1.75</v>
          </cell>
        </row>
        <row r="147">
          <cell r="A147" t="str">
            <v>FIELD - INSURANCE CLAIM</v>
          </cell>
          <cell r="E147">
            <v>1.75</v>
          </cell>
        </row>
        <row r="148">
          <cell r="A148" t="str">
            <v>FIELD - UNIT CARNAPPED</v>
          </cell>
          <cell r="E148">
            <v>1.75</v>
          </cell>
        </row>
        <row r="149">
          <cell r="A149" t="str">
            <v>FIELD - UNIT UNDER HPG</v>
          </cell>
          <cell r="E149">
            <v>1.75</v>
          </cell>
        </row>
        <row r="150">
          <cell r="A150" t="str">
            <v>FIELD - UNIT IMPOUNDED</v>
          </cell>
          <cell r="E150">
            <v>1.75</v>
          </cell>
        </row>
        <row r="151">
          <cell r="A151" t="str">
            <v>FIELD - UNIT ASSUMED</v>
          </cell>
          <cell r="E151">
            <v>1.75</v>
          </cell>
        </row>
        <row r="152">
          <cell r="A152" t="str">
            <v>FIELD - UNIT DAMAGE OR WRECK</v>
          </cell>
          <cell r="E152">
            <v>1.75</v>
          </cell>
        </row>
        <row r="153">
          <cell r="A153" t="str">
            <v>FIELD - NO INTENTION TO PAY</v>
          </cell>
          <cell r="E153">
            <v>1.75</v>
          </cell>
        </row>
        <row r="154">
          <cell r="A154" t="str">
            <v>CARAVAN - FOLLOW UP COMPLIANT</v>
          </cell>
          <cell r="E154">
            <v>1.75</v>
          </cell>
        </row>
        <row r="155">
          <cell r="A155" t="str">
            <v>CARAVAN - CLAIMING PAID</v>
          </cell>
          <cell r="E155">
            <v>1.75</v>
          </cell>
        </row>
        <row r="156">
          <cell r="A156" t="str">
            <v>CARAVAN - INSURANCE CLAIM</v>
          </cell>
          <cell r="E156">
            <v>1.75</v>
          </cell>
        </row>
        <row r="157">
          <cell r="A157" t="str">
            <v>CARAVAN - UNIT CARNAPPED</v>
          </cell>
          <cell r="E157">
            <v>1.75</v>
          </cell>
        </row>
        <row r="158">
          <cell r="A158" t="str">
            <v>CARAVAN - UNIT UNDER HPG</v>
          </cell>
          <cell r="E158">
            <v>1.75</v>
          </cell>
        </row>
        <row r="159">
          <cell r="A159" t="str">
            <v>CARAVAN - UNIT IMPOUNDED</v>
          </cell>
          <cell r="E159">
            <v>1.75</v>
          </cell>
        </row>
        <row r="160">
          <cell r="A160" t="str">
            <v>CARAVAN - UNIT ASSUMED</v>
          </cell>
          <cell r="E160">
            <v>1.75</v>
          </cell>
        </row>
        <row r="161">
          <cell r="A161" t="str">
            <v>CARAVAN - UNIT DAMAGE OR WRECK</v>
          </cell>
          <cell r="E161">
            <v>1.75</v>
          </cell>
        </row>
        <row r="162">
          <cell r="A162" t="str">
            <v>CARAVAN - NO INTENTION TO PAY</v>
          </cell>
          <cell r="E162">
            <v>1.75</v>
          </cell>
        </row>
        <row r="163">
          <cell r="A163" t="str">
            <v>VIBER - RESPONSIVE</v>
          </cell>
          <cell r="E163">
            <v>1.75</v>
          </cell>
        </row>
        <row r="164">
          <cell r="A164" t="str">
            <v>VIBER - FOLLOW UP MESSAGE</v>
          </cell>
          <cell r="E164">
            <v>1.75</v>
          </cell>
        </row>
        <row r="165">
          <cell r="A165" t="str">
            <v>VIBER - FOLLOW UP COMPLIANT</v>
          </cell>
          <cell r="E165">
            <v>1.75</v>
          </cell>
        </row>
        <row r="166">
          <cell r="A166" t="str">
            <v>VIBER - CLAIMING PAID</v>
          </cell>
          <cell r="E166">
            <v>1.75</v>
          </cell>
        </row>
        <row r="167">
          <cell r="A167" t="str">
            <v>VIBER - INSURANCE CLAIM</v>
          </cell>
          <cell r="E167">
            <v>1.75</v>
          </cell>
        </row>
        <row r="168">
          <cell r="A168" t="str">
            <v>VIBER - UNIT CARNAPPED</v>
          </cell>
          <cell r="E168">
            <v>1.75</v>
          </cell>
        </row>
        <row r="169">
          <cell r="A169" t="str">
            <v>VIBER - UNIT UNDER HPG</v>
          </cell>
          <cell r="E169">
            <v>1.75</v>
          </cell>
        </row>
        <row r="170">
          <cell r="A170" t="str">
            <v>VIBER - UNIT IMPOUNDED</v>
          </cell>
          <cell r="E170">
            <v>1.75</v>
          </cell>
        </row>
        <row r="171">
          <cell r="A171" t="str">
            <v>VIBER - UNIT ASSUMED</v>
          </cell>
          <cell r="E171">
            <v>1.75</v>
          </cell>
        </row>
        <row r="172">
          <cell r="A172" t="str">
            <v>VIBER - UNIT DAMAGE OR WRECK</v>
          </cell>
          <cell r="E172">
            <v>1.75</v>
          </cell>
        </row>
        <row r="173">
          <cell r="A173" t="str">
            <v>VIBER - NO INTENTION TO PAY</v>
          </cell>
          <cell r="E173">
            <v>1.75</v>
          </cell>
        </row>
        <row r="174">
          <cell r="A174" t="str">
            <v>CALL - FOLLOW UP KOR</v>
          </cell>
          <cell r="E174">
            <v>1.75</v>
          </cell>
        </row>
        <row r="175">
          <cell r="A175" t="str">
            <v>SMS - GOT NEW CONTACT NUM</v>
          </cell>
          <cell r="E175">
            <v>2</v>
          </cell>
        </row>
        <row r="176">
          <cell r="A176" t="str">
            <v>EMAIL - GOT NEW CONTACT</v>
          </cell>
          <cell r="E176">
            <v>2</v>
          </cell>
        </row>
        <row r="177">
          <cell r="A177" t="str">
            <v>SKIP - SMEDIA ACCOUNT</v>
          </cell>
          <cell r="E177">
            <v>2</v>
          </cell>
        </row>
        <row r="178">
          <cell r="A178" t="str">
            <v>SKIP - NEW ADDRESS</v>
          </cell>
          <cell r="E178">
            <v>2</v>
          </cell>
        </row>
        <row r="179">
          <cell r="A179" t="str">
            <v>SKIP - CONTACT NUMBER</v>
          </cell>
          <cell r="E179">
            <v>2</v>
          </cell>
        </row>
        <row r="180">
          <cell r="A180" t="str">
            <v>SKIP - UNIT CARNAPPED</v>
          </cell>
          <cell r="E180">
            <v>2</v>
          </cell>
        </row>
        <row r="181">
          <cell r="A181" t="str">
            <v>SKIP - UNIT UNDER HPG</v>
          </cell>
          <cell r="E181">
            <v>2</v>
          </cell>
        </row>
        <row r="182">
          <cell r="A182" t="str">
            <v>SKIP - UNIT IMPOUNDED</v>
          </cell>
          <cell r="E182">
            <v>2</v>
          </cell>
        </row>
        <row r="183">
          <cell r="A183" t="str">
            <v>SKIP - UNIT ASSUMED</v>
          </cell>
          <cell r="E183">
            <v>2</v>
          </cell>
        </row>
        <row r="184">
          <cell r="A184" t="str">
            <v>SKIP - UNIT DAMAGE OR WRECK</v>
          </cell>
          <cell r="E184">
            <v>2</v>
          </cell>
        </row>
        <row r="185">
          <cell r="A185" t="str">
            <v>FIELD - LOT_ONLY</v>
          </cell>
          <cell r="E185">
            <v>2</v>
          </cell>
        </row>
        <row r="186">
          <cell r="A186" t="str">
            <v>FIELD - LEAVE_MESSAGE TO 3RD PARTY</v>
          </cell>
          <cell r="E186">
            <v>2</v>
          </cell>
        </row>
        <row r="187">
          <cell r="A187" t="str">
            <v>FIELD - MOVED_OUT</v>
          </cell>
          <cell r="E187">
            <v>2</v>
          </cell>
        </row>
        <row r="188">
          <cell r="A188" t="str">
            <v>CARAVAN - CLIENT OUT OF AREA</v>
          </cell>
          <cell r="E188">
            <v>2</v>
          </cell>
        </row>
        <row r="189">
          <cell r="A189" t="str">
            <v>CARAVAN - LEAVE MESSAGE TO 3RD PARTY</v>
          </cell>
          <cell r="E189">
            <v>2</v>
          </cell>
        </row>
        <row r="190">
          <cell r="A190" t="str">
            <v>CARAVAN - MOVED OUT</v>
          </cell>
          <cell r="E190">
            <v>2</v>
          </cell>
        </row>
        <row r="191">
          <cell r="A191" t="str">
            <v>VIBER - DELIVERED</v>
          </cell>
          <cell r="E191">
            <v>2</v>
          </cell>
        </row>
        <row r="192">
          <cell r="A192" t="str">
            <v>VIBER - READ</v>
          </cell>
          <cell r="E192">
            <v>2</v>
          </cell>
        </row>
        <row r="193">
          <cell r="A193" t="str">
            <v>VIBER - PENDING</v>
          </cell>
          <cell r="E193">
            <v>2</v>
          </cell>
        </row>
        <row r="194">
          <cell r="A194" t="str">
            <v>VIBER - BOUNCED</v>
          </cell>
          <cell r="E194">
            <v>2</v>
          </cell>
        </row>
        <row r="195">
          <cell r="A195" t="str">
            <v>VIBER - PARTIAL</v>
          </cell>
          <cell r="E195">
            <v>2</v>
          </cell>
        </row>
        <row r="196">
          <cell r="A196" t="str">
            <v>CALL - POS_UNATTENDED</v>
          </cell>
          <cell r="E196">
            <v>2.5</v>
          </cell>
        </row>
        <row r="197">
          <cell r="A197" t="str">
            <v>CALL - POS_KOR</v>
          </cell>
          <cell r="E197">
            <v>2.5</v>
          </cell>
        </row>
        <row r="198">
          <cell r="A198" t="str">
            <v>CALL - POS_DROPPED</v>
          </cell>
          <cell r="E198">
            <v>2.5</v>
          </cell>
        </row>
        <row r="199">
          <cell r="A199" t="str">
            <v>CALL - POS_BUSY</v>
          </cell>
          <cell r="E199">
            <v>2.5</v>
          </cell>
        </row>
        <row r="200">
          <cell r="A200" t="str">
            <v>CALL - POS_LEAVE MSG TO 3RD PARTY</v>
          </cell>
          <cell r="E200">
            <v>2.5</v>
          </cell>
        </row>
        <row r="201">
          <cell r="A201" t="str">
            <v>CALL - POS_CBR</v>
          </cell>
          <cell r="E201">
            <v>2.5</v>
          </cell>
        </row>
        <row r="202">
          <cell r="A202" t="str">
            <v>SMS - POS_SENT MESSAGE</v>
          </cell>
          <cell r="E202">
            <v>2.5</v>
          </cell>
        </row>
        <row r="203">
          <cell r="A203" t="str">
            <v>EMAIL - POS_SENT MESSAGE</v>
          </cell>
          <cell r="E203">
            <v>2.5</v>
          </cell>
        </row>
        <row r="204">
          <cell r="A204" t="str">
            <v>SKIP - POSSIBLE LEADS</v>
          </cell>
          <cell r="E204">
            <v>2.5</v>
          </cell>
        </row>
        <row r="205">
          <cell r="A205" t="str">
            <v>SMEDIA - POS_SENT A MESSAGE</v>
          </cell>
          <cell r="E205">
            <v>2.5</v>
          </cell>
        </row>
        <row r="206">
          <cell r="A206" t="str">
            <v>VIBER - POS_SENT A MESSAGE</v>
          </cell>
          <cell r="E206">
            <v>2.5</v>
          </cell>
        </row>
        <row r="207">
          <cell r="A207" t="str">
            <v>CALL - NEG_KOR</v>
          </cell>
          <cell r="E207">
            <v>2.5</v>
          </cell>
        </row>
        <row r="208">
          <cell r="A208" t="str">
            <v>SMS SENT - TEXT CLIENT</v>
          </cell>
          <cell r="E208">
            <v>2.5</v>
          </cell>
        </row>
        <row r="209">
          <cell r="A209" t="str">
            <v>PM</v>
          </cell>
          <cell r="E209">
            <v>2.5</v>
          </cell>
        </row>
        <row r="210">
          <cell r="A210" t="str">
            <v>PU</v>
          </cell>
          <cell r="E210">
            <v>2.5</v>
          </cell>
        </row>
        <row r="211">
          <cell r="A211" t="str">
            <v>CALL - NEG_UNATTENDED</v>
          </cell>
          <cell r="E211">
            <v>2.75</v>
          </cell>
        </row>
        <row r="212">
          <cell r="A212" t="str">
            <v>CALL - NEG_KOR</v>
          </cell>
          <cell r="E212">
            <v>2.75</v>
          </cell>
        </row>
        <row r="213">
          <cell r="A213" t="str">
            <v>CALL - NEG_DROPPED</v>
          </cell>
          <cell r="E213">
            <v>2.75</v>
          </cell>
        </row>
        <row r="214">
          <cell r="A214" t="str">
            <v>CALL - NEG_WRONG NUMBER</v>
          </cell>
          <cell r="E214">
            <v>2.75</v>
          </cell>
        </row>
        <row r="215">
          <cell r="A215" t="str">
            <v>CALL - NEG_LEAVE MSG TO 3RD PARTY</v>
          </cell>
          <cell r="E215">
            <v>2.75</v>
          </cell>
        </row>
        <row r="216">
          <cell r="A216" t="str">
            <v>CALL - NEG_EMPLOYER NLC</v>
          </cell>
          <cell r="E216">
            <v>2.75</v>
          </cell>
        </row>
        <row r="217">
          <cell r="A217" t="str">
            <v>CALL - NEG_BUSY</v>
          </cell>
          <cell r="E217">
            <v>2.75</v>
          </cell>
        </row>
        <row r="218">
          <cell r="A218" t="str">
            <v>CALL - NEG_NOT IN SERVICE</v>
          </cell>
          <cell r="E218">
            <v>2.75</v>
          </cell>
        </row>
        <row r="219">
          <cell r="A219" t="str">
            <v>CALL - NEG_CBR</v>
          </cell>
          <cell r="E219">
            <v>2.75</v>
          </cell>
        </row>
        <row r="220">
          <cell r="A220" t="str">
            <v>SMS - NEG_SENT MESSAGE</v>
          </cell>
          <cell r="E220">
            <v>2.75</v>
          </cell>
        </row>
        <row r="221">
          <cell r="A221" t="str">
            <v>SMS - WRONG NUMBER</v>
          </cell>
          <cell r="E221">
            <v>2.75</v>
          </cell>
        </row>
        <row r="222">
          <cell r="A222" t="str">
            <v>EMAIL - NEG_SENT MESSAGE</v>
          </cell>
          <cell r="E222">
            <v>2.75</v>
          </cell>
        </row>
        <row r="223">
          <cell r="A223" t="str">
            <v>SKIP - NEGATIVE</v>
          </cell>
          <cell r="E223">
            <v>2.75</v>
          </cell>
        </row>
        <row r="224">
          <cell r="A224" t="str">
            <v>SMEDIA - NEG_SENT A MESSAGE</v>
          </cell>
          <cell r="E224">
            <v>2.75</v>
          </cell>
        </row>
        <row r="225">
          <cell r="A225" t="str">
            <v>VIBER - NEG_SENT A MESSAGE</v>
          </cell>
          <cell r="E225">
            <v>2.75</v>
          </cell>
        </row>
        <row r="226">
          <cell r="A226" t="str">
            <v>CALL - NEG_CBR</v>
          </cell>
          <cell r="E226">
            <v>2.75</v>
          </cell>
        </row>
        <row r="227">
          <cell r="A227" t="str">
            <v>CALL - NEG_BUSY</v>
          </cell>
          <cell r="E227">
            <v>2.75</v>
          </cell>
        </row>
        <row r="228">
          <cell r="A228" t="str">
            <v>CALL - NEG_DROPPED</v>
          </cell>
          <cell r="E228">
            <v>2.75</v>
          </cell>
        </row>
        <row r="229">
          <cell r="A229" t="str">
            <v>NEGATIVE - CBR / NIS</v>
          </cell>
          <cell r="E229">
            <v>2.75</v>
          </cell>
        </row>
        <row r="230">
          <cell r="A230" t="str">
            <v>SCHEDULE_CALLBACK - CALLBACK</v>
          </cell>
          <cell r="E230">
            <v>2.75</v>
          </cell>
        </row>
        <row r="231">
          <cell r="A231" t="str">
            <v>JUNK NEGATIVE - KOR</v>
          </cell>
          <cell r="E231">
            <v>2.75</v>
          </cell>
        </row>
        <row r="232">
          <cell r="A232" t="str">
            <v>JUNK_NEGATIVE - KOR</v>
          </cell>
          <cell r="E232">
            <v>2.75</v>
          </cell>
        </row>
        <row r="233">
          <cell r="A233" t="str">
            <v>JUNK NEGATIVE - NO ACTIVE NUMBER</v>
          </cell>
          <cell r="E233">
            <v>2.75</v>
          </cell>
        </row>
        <row r="234">
          <cell r="A234" t="str">
            <v>JUNK NEGATIVE - CANNOT BE REACHED</v>
          </cell>
          <cell r="E234">
            <v>2.75</v>
          </cell>
        </row>
        <row r="235">
          <cell r="A235" t="str">
            <v>JUNK NEGATIVE - CALL_NIS</v>
          </cell>
          <cell r="E235">
            <v>2.75</v>
          </cell>
        </row>
        <row r="236">
          <cell r="A236" t="str">
            <v>FIELD - CLIENT_UNKNOWN</v>
          </cell>
          <cell r="E236">
            <v>3</v>
          </cell>
        </row>
        <row r="237">
          <cell r="A237" t="str">
            <v>FIELD - CLIENT_OUT OF AREA</v>
          </cell>
          <cell r="E237">
            <v>3</v>
          </cell>
        </row>
        <row r="238">
          <cell r="A238" t="str">
            <v>FIELD - NOT_ALLOWED TO ENTER</v>
          </cell>
          <cell r="E238">
            <v>3</v>
          </cell>
        </row>
        <row r="239">
          <cell r="A239" t="str">
            <v>FIELD - HOUSED_CLOSED UNVERIFIED</v>
          </cell>
          <cell r="E239">
            <v>3</v>
          </cell>
        </row>
        <row r="240">
          <cell r="A240" t="str">
            <v>FIELD - HOUSED CLOSED VERIFIED</v>
          </cell>
          <cell r="E240">
            <v>3</v>
          </cell>
        </row>
        <row r="241">
          <cell r="A241" t="str">
            <v>FIELD - RESULT</v>
          </cell>
          <cell r="E241">
            <v>3</v>
          </cell>
        </row>
        <row r="242">
          <cell r="A242" t="str">
            <v>CARAVAN - CLIENT UNKNOWN</v>
          </cell>
          <cell r="E242">
            <v>3</v>
          </cell>
        </row>
        <row r="243">
          <cell r="A243" t="str">
            <v>CARAVAN - NOT ALLOWED TO ENTER</v>
          </cell>
          <cell r="E243">
            <v>3</v>
          </cell>
        </row>
        <row r="244">
          <cell r="A244" t="str">
            <v>CARAVAN - LOT ONLY</v>
          </cell>
          <cell r="E244">
            <v>3</v>
          </cell>
        </row>
        <row r="245">
          <cell r="A245" t="str">
            <v>CARAVAN - HOUSED CLOSED UNVERIFIED</v>
          </cell>
          <cell r="E245">
            <v>3</v>
          </cell>
        </row>
        <row r="246">
          <cell r="A246" t="str">
            <v>CARAVAN - HOUSED CLOSED VERIFIED</v>
          </cell>
          <cell r="E246">
            <v>3</v>
          </cell>
        </row>
        <row r="247">
          <cell r="A247" t="str">
            <v>CARAVAN - RESULT</v>
          </cell>
          <cell r="E247">
            <v>3</v>
          </cell>
        </row>
        <row r="248">
          <cell r="A248" t="str">
            <v>FIELD REQUEST - FOR REVISIT</v>
          </cell>
          <cell r="E248">
            <v>3</v>
          </cell>
        </row>
        <row r="249">
          <cell r="A249" t="str">
            <v>FIELD REQUEST - BP_NC</v>
          </cell>
          <cell r="E249">
            <v>3</v>
          </cell>
        </row>
        <row r="250">
          <cell r="A250" t="str">
            <v>FIELD REQUEST - NEW_ADDRESS</v>
          </cell>
          <cell r="E250">
            <v>3</v>
          </cell>
        </row>
        <row r="251">
          <cell r="A251" t="str">
            <v>BULK SMS SENT</v>
          </cell>
          <cell r="E251">
            <v>3</v>
          </cell>
        </row>
        <row r="252">
          <cell r="A252" t="str">
            <v>BUSY</v>
          </cell>
          <cell r="E252">
            <v>3</v>
          </cell>
        </row>
        <row r="253">
          <cell r="A253" t="str">
            <v>RNA</v>
          </cell>
          <cell r="E253">
            <v>3</v>
          </cell>
        </row>
        <row r="254">
          <cell r="A254" t="str">
            <v>DROPPED</v>
          </cell>
          <cell r="E254">
            <v>3</v>
          </cell>
        </row>
        <row r="255">
          <cell r="A255" t="str">
            <v>SMS SENT</v>
          </cell>
          <cell r="E255">
            <v>3</v>
          </cell>
        </row>
        <row r="256">
          <cell r="A256" t="str">
            <v>EMAIL SENT</v>
          </cell>
          <cell r="E256">
            <v>3</v>
          </cell>
        </row>
        <row r="257">
          <cell r="A257" t="str">
            <v>BULK SMS SENT</v>
          </cell>
          <cell r="E257">
            <v>3</v>
          </cell>
        </row>
        <row r="258">
          <cell r="A258" t="str">
            <v>EMAIL</v>
          </cell>
          <cell r="E258">
            <v>3</v>
          </cell>
        </row>
        <row r="259">
          <cell r="A259" t="str">
            <v>CALL - DECEASED</v>
          </cell>
          <cell r="E259">
            <v>5</v>
          </cell>
        </row>
        <row r="260">
          <cell r="A260" t="str">
            <v>SMS - DECEASED</v>
          </cell>
          <cell r="E260">
            <v>5</v>
          </cell>
        </row>
        <row r="261">
          <cell r="A261" t="str">
            <v>EMAIL - DECEASED</v>
          </cell>
          <cell r="E261">
            <v>5</v>
          </cell>
        </row>
        <row r="262">
          <cell r="A262" t="str">
            <v>EMAIL - CEASE COLLECTION</v>
          </cell>
          <cell r="E262">
            <v>5</v>
          </cell>
        </row>
        <row r="263">
          <cell r="A263" t="str">
            <v>FIELD - UNLOCATED</v>
          </cell>
          <cell r="E263">
            <v>5</v>
          </cell>
        </row>
        <row r="264">
          <cell r="A264" t="str">
            <v>FIELD - DECEASED</v>
          </cell>
          <cell r="E264">
            <v>5</v>
          </cell>
        </row>
        <row r="265">
          <cell r="A265" t="str">
            <v>CARAVAN - UNLOCATED</v>
          </cell>
          <cell r="E265">
            <v>5</v>
          </cell>
        </row>
        <row r="266">
          <cell r="A266" t="str">
            <v>CARAVAN - DECEASED</v>
          </cell>
          <cell r="E266">
            <v>5</v>
          </cell>
        </row>
        <row r="267">
          <cell r="A267" t="str">
            <v>CEASE - POSSIBLE COMPLAINT</v>
          </cell>
          <cell r="E267">
            <v>5</v>
          </cell>
        </row>
        <row r="268">
          <cell r="A268" t="str">
            <v>CEASE - PENDING COMPLAINT</v>
          </cell>
          <cell r="E268">
            <v>5</v>
          </cell>
        </row>
        <row r="269">
          <cell r="A269" t="str">
            <v>CEASE - VALID COMPLAINT</v>
          </cell>
          <cell r="E269">
            <v>5</v>
          </cell>
        </row>
        <row r="270">
          <cell r="A270" t="str">
            <v>CEASE - REQUESTED BY BANK</v>
          </cell>
          <cell r="E270">
            <v>5</v>
          </cell>
        </row>
        <row r="271">
          <cell r="A271" t="str">
            <v>CEASE - CLAIMING PAID</v>
          </cell>
          <cell r="E271">
            <v>5</v>
          </cell>
        </row>
        <row r="272">
          <cell r="A272" t="str">
            <v>CEASE - INSURANCE CLAIM</v>
          </cell>
          <cell r="E272">
            <v>5</v>
          </cell>
        </row>
        <row r="273">
          <cell r="A273" t="str">
            <v>CEASE - REPOSSESSED BY OTHER ECA</v>
          </cell>
          <cell r="E273">
            <v>5</v>
          </cell>
        </row>
        <row r="274">
          <cell r="A274" t="str">
            <v>JUNK NEGATIVE - OUT OF COVERAGE AREA</v>
          </cell>
          <cell r="E274">
            <v>5</v>
          </cell>
        </row>
        <row r="275">
          <cell r="A275" t="str">
            <v>SMS REPLY</v>
          </cell>
          <cell r="E275">
            <v>1.75</v>
          </cell>
        </row>
        <row r="276">
          <cell r="A276" t="str">
            <v>SMS REPLY AS</v>
          </cell>
          <cell r="E276">
            <v>1.75</v>
          </cell>
        </row>
        <row r="277">
          <cell r="A277" t="str">
            <v>SMS Replied</v>
          </cell>
          <cell r="E277">
            <v>1.75</v>
          </cell>
        </row>
        <row r="278">
          <cell r="A278" t="str">
            <v>REPO AI - UNDERNEGO</v>
          </cell>
          <cell r="E278">
            <v>1.75</v>
          </cell>
        </row>
        <row r="279">
          <cell r="A279" t="str">
            <v>VIBER - PTP PARTIAL</v>
          </cell>
          <cell r="E279">
            <v>1.5</v>
          </cell>
        </row>
        <row r="280">
          <cell r="A280" t="str">
            <v>FIELD - UNDERNEGO</v>
          </cell>
          <cell r="E280">
            <v>1.75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B5CF83D-941A-4F1F-8632-96140818D04D}" name="FLD_REF" displayName="FLD_REF" ref="M1:P108" totalsRowShown="0">
  <tableColumns count="4">
    <tableColumn id="1" xr3:uid="{FAEBAF80-F0E9-4B23-8339-8E5E04288DB1}" name="FV RANK"/>
    <tableColumn id="2" xr3:uid="{EF0E12FA-479E-4BC1-9B5B-D396D387F1B3}" name="UNIQUE STATUS"/>
    <tableColumn id="3" xr3:uid="{C74465EA-72B5-4F3B-A4F8-B12B27AE020D}" name="ADDRESS STATUS"/>
    <tableColumn id="4" xr3:uid="{D8B52E56-801D-4FA3-AD31-049E6D2919F1}" name="RFD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6B0E5-18F9-4DEC-86E1-F47E8031C71A}">
  <dimension ref="A1:R108"/>
  <sheetViews>
    <sheetView workbookViewId="0">
      <selection activeCell="E15" sqref="A1:XFD1048576"/>
    </sheetView>
  </sheetViews>
  <sheetFormatPr defaultRowHeight="15" x14ac:dyDescent="0.25"/>
  <cols>
    <col min="1" max="1" width="29.85546875" bestFit="1" customWidth="1"/>
    <col min="2" max="2" width="11.5703125" bestFit="1" customWidth="1"/>
    <col min="4" max="4" width="12.85546875" style="7" customWidth="1"/>
    <col min="5" max="5" width="39.28515625" customWidth="1"/>
    <col min="6" max="6" width="19.28515625" bestFit="1" customWidth="1"/>
    <col min="8" max="8" width="16.42578125" bestFit="1" customWidth="1"/>
    <col min="10" max="10" width="17.7109375" customWidth="1"/>
    <col min="13" max="13" width="10.7109375" customWidth="1"/>
    <col min="14" max="14" width="55.5703125" bestFit="1" customWidth="1"/>
    <col min="15" max="15" width="23.42578125" bestFit="1" customWidth="1"/>
    <col min="16" max="16" width="29.85546875" bestFit="1" customWidth="1"/>
    <col min="17" max="17" width="16.85546875" customWidth="1"/>
    <col min="18" max="18" width="20.28515625" customWidth="1"/>
  </cols>
  <sheetData>
    <row r="1" spans="1:18" x14ac:dyDescent="0.25">
      <c r="A1" s="1" t="s">
        <v>0</v>
      </c>
      <c r="B1" t="s">
        <v>1</v>
      </c>
      <c r="D1" s="2" t="s">
        <v>2</v>
      </c>
      <c r="E1" s="2" t="s">
        <v>3</v>
      </c>
      <c r="F1" s="2" t="s">
        <v>4</v>
      </c>
      <c r="G1" s="3" t="s">
        <v>5</v>
      </c>
      <c r="H1" s="3" t="s">
        <v>6</v>
      </c>
      <c r="I1" s="3" t="s">
        <v>7</v>
      </c>
      <c r="J1" s="4" t="s">
        <v>8</v>
      </c>
      <c r="M1" s="5" t="s">
        <v>9</v>
      </c>
      <c r="N1" s="5" t="s">
        <v>10</v>
      </c>
      <c r="O1" s="3" t="s">
        <v>6</v>
      </c>
      <c r="P1" s="4" t="s">
        <v>8</v>
      </c>
      <c r="Q1" t="s">
        <v>11</v>
      </c>
      <c r="R1" t="s">
        <v>12</v>
      </c>
    </row>
    <row r="2" spans="1:18" x14ac:dyDescent="0.25">
      <c r="A2" s="6" t="s">
        <v>13</v>
      </c>
      <c r="B2" t="s">
        <v>14</v>
      </c>
      <c r="D2" s="7">
        <f>_xlfn.XLOOKUP(E2,'[1]ECMS REFERENCE'!A:A,'[1]ECMS REFERENCE'!E:E,0)</f>
        <v>1</v>
      </c>
      <c r="E2" s="8" t="s">
        <v>15</v>
      </c>
      <c r="F2" t="s">
        <v>16</v>
      </c>
      <c r="G2" t="s">
        <v>17</v>
      </c>
      <c r="H2" t="s">
        <v>11</v>
      </c>
      <c r="I2" t="s">
        <v>11</v>
      </c>
      <c r="J2" t="s">
        <v>18</v>
      </c>
      <c r="M2">
        <v>1</v>
      </c>
      <c r="N2" t="s">
        <v>19</v>
      </c>
      <c r="O2" t="s">
        <v>17</v>
      </c>
      <c r="P2" t="s">
        <v>20</v>
      </c>
    </row>
    <row r="3" spans="1:18" x14ac:dyDescent="0.25">
      <c r="A3" s="9" t="s">
        <v>21</v>
      </c>
      <c r="B3" t="s">
        <v>22</v>
      </c>
      <c r="D3" s="7">
        <f>_xlfn.XLOOKUP(E3,'[1]ECMS REFERENCE'!A:A,'[1]ECMS REFERENCE'!E:E,0)</f>
        <v>1</v>
      </c>
      <c r="E3" t="s">
        <v>23</v>
      </c>
      <c r="F3" t="s">
        <v>16</v>
      </c>
      <c r="G3" t="s">
        <v>17</v>
      </c>
      <c r="H3" t="s">
        <v>11</v>
      </c>
      <c r="I3" t="s">
        <v>11</v>
      </c>
      <c r="J3" t="s">
        <v>18</v>
      </c>
      <c r="M3">
        <v>1</v>
      </c>
      <c r="N3" t="s">
        <v>24</v>
      </c>
      <c r="O3" t="s">
        <v>17</v>
      </c>
      <c r="P3" t="s">
        <v>18</v>
      </c>
    </row>
    <row r="4" spans="1:18" x14ac:dyDescent="0.25">
      <c r="A4" s="9" t="s">
        <v>25</v>
      </c>
      <c r="B4" t="s">
        <v>26</v>
      </c>
      <c r="D4" s="7">
        <f>_xlfn.XLOOKUP(E4,'[1]ECMS REFERENCE'!A:A,'[1]ECMS REFERENCE'!E:E,0)</f>
        <v>1</v>
      </c>
      <c r="E4" s="8" t="s">
        <v>27</v>
      </c>
      <c r="F4" t="s">
        <v>16</v>
      </c>
      <c r="G4" t="s">
        <v>11</v>
      </c>
      <c r="H4" t="s">
        <v>11</v>
      </c>
      <c r="I4" t="s">
        <v>11</v>
      </c>
      <c r="J4" t="s">
        <v>18</v>
      </c>
      <c r="M4">
        <v>1</v>
      </c>
      <c r="N4" t="s">
        <v>28</v>
      </c>
      <c r="O4" t="s">
        <v>17</v>
      </c>
      <c r="P4" t="s">
        <v>29</v>
      </c>
    </row>
    <row r="5" spans="1:18" x14ac:dyDescent="0.25">
      <c r="D5" s="7">
        <f>_xlfn.XLOOKUP(E5,'[1]ECMS REFERENCE'!A:A,'[1]ECMS REFERENCE'!E:E,0)</f>
        <v>1</v>
      </c>
      <c r="E5" s="8" t="s">
        <v>30</v>
      </c>
      <c r="F5" t="s">
        <v>16</v>
      </c>
      <c r="G5" t="s">
        <v>17</v>
      </c>
      <c r="H5" t="s">
        <v>11</v>
      </c>
      <c r="I5" t="s">
        <v>11</v>
      </c>
      <c r="J5" t="s">
        <v>18</v>
      </c>
      <c r="M5">
        <v>1</v>
      </c>
      <c r="N5" t="s">
        <v>31</v>
      </c>
      <c r="O5" t="s">
        <v>17</v>
      </c>
      <c r="P5" t="s">
        <v>18</v>
      </c>
    </row>
    <row r="6" spans="1:18" x14ac:dyDescent="0.25">
      <c r="D6" s="7">
        <f>_xlfn.XLOOKUP(E6,'[1]ECMS REFERENCE'!A:A,'[1]ECMS REFERENCE'!E:E,0)</f>
        <v>1</v>
      </c>
      <c r="E6" s="8" t="s">
        <v>32</v>
      </c>
      <c r="F6" t="s">
        <v>33</v>
      </c>
      <c r="G6" t="s">
        <v>17</v>
      </c>
      <c r="H6" t="s">
        <v>11</v>
      </c>
      <c r="I6" t="s">
        <v>11</v>
      </c>
      <c r="J6" t="s">
        <v>18</v>
      </c>
      <c r="M6">
        <v>1</v>
      </c>
      <c r="N6" t="s">
        <v>34</v>
      </c>
      <c r="O6" t="s">
        <v>17</v>
      </c>
      <c r="P6" t="s">
        <v>20</v>
      </c>
    </row>
    <row r="7" spans="1:18" x14ac:dyDescent="0.25">
      <c r="D7" s="7">
        <f>_xlfn.XLOOKUP(E7,'[1]ECMS REFERENCE'!A:A,'[1]ECMS REFERENCE'!E:E,0)</f>
        <v>1</v>
      </c>
      <c r="E7" s="8" t="s">
        <v>35</v>
      </c>
      <c r="F7" t="s">
        <v>33</v>
      </c>
      <c r="G7" t="s">
        <v>17</v>
      </c>
      <c r="H7" t="s">
        <v>11</v>
      </c>
      <c r="I7" t="s">
        <v>11</v>
      </c>
      <c r="J7" t="s">
        <v>18</v>
      </c>
      <c r="M7">
        <v>1</v>
      </c>
      <c r="N7" t="s">
        <v>36</v>
      </c>
      <c r="O7" t="s">
        <v>17</v>
      </c>
      <c r="P7" t="s">
        <v>18</v>
      </c>
    </row>
    <row r="8" spans="1:18" x14ac:dyDescent="0.25">
      <c r="A8" t="s">
        <v>5</v>
      </c>
      <c r="D8" s="7">
        <f>_xlfn.XLOOKUP(E8,'[1]ECMS REFERENCE'!A:A,'[1]ECMS REFERENCE'!E:E,0)</f>
        <v>1</v>
      </c>
      <c r="E8" s="8" t="s">
        <v>37</v>
      </c>
      <c r="F8" t="s">
        <v>16</v>
      </c>
      <c r="G8" t="s">
        <v>17</v>
      </c>
      <c r="H8" t="s">
        <v>11</v>
      </c>
      <c r="I8" t="s">
        <v>11</v>
      </c>
      <c r="J8" t="s">
        <v>18</v>
      </c>
      <c r="M8">
        <v>1</v>
      </c>
      <c r="N8" t="s">
        <v>38</v>
      </c>
      <c r="O8" t="s">
        <v>17</v>
      </c>
      <c r="P8" t="s">
        <v>39</v>
      </c>
    </row>
    <row r="9" spans="1:18" x14ac:dyDescent="0.25">
      <c r="A9" t="s">
        <v>17</v>
      </c>
      <c r="D9" s="7">
        <f>_xlfn.XLOOKUP(E9,'[1]ECMS REFERENCE'!A:A,'[1]ECMS REFERENCE'!E:E,0)</f>
        <v>1</v>
      </c>
      <c r="E9" s="8" t="s">
        <v>40</v>
      </c>
      <c r="F9" t="s">
        <v>16</v>
      </c>
      <c r="G9" t="s">
        <v>17</v>
      </c>
      <c r="H9" t="s">
        <v>11</v>
      </c>
      <c r="I9" t="s">
        <v>11</v>
      </c>
      <c r="J9" t="s">
        <v>18</v>
      </c>
      <c r="M9">
        <v>1</v>
      </c>
      <c r="N9" t="s">
        <v>41</v>
      </c>
      <c r="O9" t="s">
        <v>17</v>
      </c>
      <c r="P9" t="s">
        <v>20</v>
      </c>
    </row>
    <row r="10" spans="1:18" x14ac:dyDescent="0.25">
      <c r="A10" t="s">
        <v>11</v>
      </c>
      <c r="D10" s="7">
        <f>_xlfn.XLOOKUP(E10,'[1]ECMS REFERENCE'!A:A,'[1]ECMS REFERENCE'!E:E,0)</f>
        <v>1</v>
      </c>
      <c r="E10" s="8" t="s">
        <v>42</v>
      </c>
      <c r="F10" t="s">
        <v>16</v>
      </c>
      <c r="G10" t="s">
        <v>17</v>
      </c>
      <c r="H10" t="s">
        <v>11</v>
      </c>
      <c r="I10" t="s">
        <v>11</v>
      </c>
      <c r="J10" t="s">
        <v>18</v>
      </c>
      <c r="M10">
        <v>1</v>
      </c>
      <c r="N10" t="s">
        <v>43</v>
      </c>
      <c r="O10" t="s">
        <v>17</v>
      </c>
      <c r="P10" t="s">
        <v>18</v>
      </c>
    </row>
    <row r="11" spans="1:18" x14ac:dyDescent="0.25">
      <c r="D11" s="7">
        <f>_xlfn.XLOOKUP(E11,'[1]ECMS REFERENCE'!A:A,'[1]ECMS REFERENCE'!E:E,0)</f>
        <v>1</v>
      </c>
      <c r="E11" s="8" t="s">
        <v>44</v>
      </c>
      <c r="F11" t="s">
        <v>33</v>
      </c>
      <c r="G11" t="s">
        <v>17</v>
      </c>
      <c r="H11" t="s">
        <v>11</v>
      </c>
      <c r="I11" t="s">
        <v>11</v>
      </c>
      <c r="J11" t="s">
        <v>18</v>
      </c>
      <c r="M11">
        <v>1</v>
      </c>
      <c r="N11" t="s">
        <v>45</v>
      </c>
      <c r="O11" t="s">
        <v>17</v>
      </c>
      <c r="P11" t="s">
        <v>18</v>
      </c>
    </row>
    <row r="12" spans="1:18" x14ac:dyDescent="0.25">
      <c r="A12" t="s">
        <v>46</v>
      </c>
      <c r="D12" s="7">
        <f>_xlfn.XLOOKUP(E12,'[1]ECMS REFERENCE'!A:A,'[1]ECMS REFERENCE'!E:E,0)</f>
        <v>1</v>
      </c>
      <c r="E12" s="8" t="s">
        <v>47</v>
      </c>
      <c r="F12" t="s">
        <v>33</v>
      </c>
      <c r="G12" t="s">
        <v>17</v>
      </c>
      <c r="H12" t="s">
        <v>17</v>
      </c>
      <c r="I12" t="s">
        <v>11</v>
      </c>
      <c r="J12" t="s">
        <v>18</v>
      </c>
      <c r="M12">
        <v>1</v>
      </c>
      <c r="N12" t="s">
        <v>48</v>
      </c>
      <c r="O12" t="s">
        <v>17</v>
      </c>
      <c r="P12" t="s">
        <v>18</v>
      </c>
    </row>
    <row r="13" spans="1:18" x14ac:dyDescent="0.25">
      <c r="A13" t="s">
        <v>17</v>
      </c>
      <c r="D13" s="7">
        <f>_xlfn.XLOOKUP(E13,'[1]ECMS REFERENCE'!A:A,'[1]ECMS REFERENCE'!E:E,0)</f>
        <v>1.5</v>
      </c>
      <c r="E13" s="8" t="s">
        <v>49</v>
      </c>
      <c r="F13" t="s">
        <v>50</v>
      </c>
      <c r="G13" t="s">
        <v>17</v>
      </c>
      <c r="H13" t="s">
        <v>11</v>
      </c>
      <c r="I13" t="s">
        <v>11</v>
      </c>
      <c r="J13" t="s">
        <v>18</v>
      </c>
      <c r="M13">
        <v>1</v>
      </c>
      <c r="N13" t="s">
        <v>51</v>
      </c>
      <c r="O13" t="s">
        <v>17</v>
      </c>
      <c r="P13" t="s">
        <v>18</v>
      </c>
    </row>
    <row r="14" spans="1:18" x14ac:dyDescent="0.25">
      <c r="A14" t="s">
        <v>11</v>
      </c>
      <c r="D14" s="7">
        <f>_xlfn.XLOOKUP(E14,'[1]ECMS REFERENCE'!A:A,'[1]ECMS REFERENCE'!E:E,0)</f>
        <v>1.5</v>
      </c>
      <c r="E14" s="8" t="s">
        <v>52</v>
      </c>
      <c r="F14" t="s">
        <v>50</v>
      </c>
      <c r="G14" t="s">
        <v>17</v>
      </c>
      <c r="H14" t="s">
        <v>11</v>
      </c>
      <c r="I14" t="s">
        <v>11</v>
      </c>
      <c r="J14" t="s">
        <v>18</v>
      </c>
      <c r="M14">
        <v>1</v>
      </c>
      <c r="N14" t="s">
        <v>53</v>
      </c>
      <c r="O14" t="s">
        <v>17</v>
      </c>
      <c r="P14" t="s">
        <v>18</v>
      </c>
    </row>
    <row r="15" spans="1:18" x14ac:dyDescent="0.25">
      <c r="D15" s="7">
        <f>_xlfn.XLOOKUP(E15,'[1]ECMS REFERENCE'!A:A,'[1]ECMS REFERENCE'!E:E,0)</f>
        <v>1.5</v>
      </c>
      <c r="E15" t="s">
        <v>54</v>
      </c>
      <c r="F15" t="s">
        <v>50</v>
      </c>
      <c r="G15" t="s">
        <v>17</v>
      </c>
      <c r="H15" t="s">
        <v>11</v>
      </c>
      <c r="I15" t="s">
        <v>11</v>
      </c>
      <c r="J15" t="s">
        <v>18</v>
      </c>
      <c r="M15">
        <v>1</v>
      </c>
      <c r="N15" t="s">
        <v>55</v>
      </c>
      <c r="O15" t="s">
        <v>17</v>
      </c>
      <c r="P15" t="s">
        <v>20</v>
      </c>
    </row>
    <row r="16" spans="1:18" x14ac:dyDescent="0.25">
      <c r="D16" s="7">
        <f>_xlfn.XLOOKUP(E16,'[1]ECMS REFERENCE'!A:A,'[1]ECMS REFERENCE'!E:E,0)</f>
        <v>1.5</v>
      </c>
      <c r="E16" s="8" t="s">
        <v>56</v>
      </c>
      <c r="F16" t="s">
        <v>50</v>
      </c>
      <c r="G16" t="s">
        <v>17</v>
      </c>
      <c r="H16" t="s">
        <v>11</v>
      </c>
      <c r="I16" t="s">
        <v>11</v>
      </c>
      <c r="J16" t="s">
        <v>18</v>
      </c>
      <c r="M16">
        <v>1</v>
      </c>
      <c r="N16" t="s">
        <v>57</v>
      </c>
      <c r="O16" t="s">
        <v>17</v>
      </c>
      <c r="P16" t="s">
        <v>18</v>
      </c>
    </row>
    <row r="17" spans="1:16" x14ac:dyDescent="0.25">
      <c r="A17" t="s">
        <v>6</v>
      </c>
      <c r="B17" t="s">
        <v>58</v>
      </c>
      <c r="D17" s="7">
        <f>_xlfn.XLOOKUP(E17,'[1]ECMS REFERENCE'!A:A,'[1]ECMS REFERENCE'!E:E,0)</f>
        <v>1.5</v>
      </c>
      <c r="E17" s="8" t="s">
        <v>59</v>
      </c>
      <c r="F17" t="s">
        <v>50</v>
      </c>
      <c r="G17" t="s">
        <v>17</v>
      </c>
      <c r="H17" t="s">
        <v>11</v>
      </c>
      <c r="I17" t="s">
        <v>11</v>
      </c>
      <c r="J17" t="s">
        <v>18</v>
      </c>
      <c r="M17">
        <v>1</v>
      </c>
      <c r="N17" t="s">
        <v>60</v>
      </c>
      <c r="O17" t="s">
        <v>17</v>
      </c>
      <c r="P17" t="s">
        <v>18</v>
      </c>
    </row>
    <row r="18" spans="1:16" x14ac:dyDescent="0.25">
      <c r="A18" t="s">
        <v>17</v>
      </c>
      <c r="B18">
        <v>1</v>
      </c>
      <c r="D18" s="7">
        <f>_xlfn.XLOOKUP(E18,'[1]ECMS REFERENCE'!A:A,'[1]ECMS REFERENCE'!E:E,0)</f>
        <v>1.5</v>
      </c>
      <c r="E18" s="8" t="s">
        <v>61</v>
      </c>
      <c r="F18" t="s">
        <v>50</v>
      </c>
      <c r="G18" t="s">
        <v>17</v>
      </c>
      <c r="H18" t="s">
        <v>11</v>
      </c>
      <c r="I18" t="s">
        <v>11</v>
      </c>
      <c r="J18" t="s">
        <v>18</v>
      </c>
      <c r="M18">
        <v>1</v>
      </c>
      <c r="N18" t="s">
        <v>62</v>
      </c>
      <c r="O18" t="s">
        <v>17</v>
      </c>
      <c r="P18" t="s">
        <v>20</v>
      </c>
    </row>
    <row r="19" spans="1:16" x14ac:dyDescent="0.25">
      <c r="A19" t="s">
        <v>63</v>
      </c>
      <c r="B19">
        <v>3</v>
      </c>
      <c r="D19" s="7">
        <f>_xlfn.XLOOKUP(E19,'[1]ECMS REFERENCE'!A:A,'[1]ECMS REFERENCE'!E:E,0)</f>
        <v>1.5</v>
      </c>
      <c r="E19" t="s">
        <v>64</v>
      </c>
      <c r="F19" t="s">
        <v>50</v>
      </c>
      <c r="G19" t="s">
        <v>17</v>
      </c>
      <c r="H19" t="s">
        <v>11</v>
      </c>
      <c r="I19" t="s">
        <v>11</v>
      </c>
      <c r="J19" t="s">
        <v>18</v>
      </c>
      <c r="M19">
        <v>1</v>
      </c>
      <c r="N19" t="s">
        <v>65</v>
      </c>
      <c r="O19" t="s">
        <v>17</v>
      </c>
      <c r="P19" t="s">
        <v>20</v>
      </c>
    </row>
    <row r="20" spans="1:16" x14ac:dyDescent="0.25">
      <c r="A20" t="s">
        <v>66</v>
      </c>
      <c r="B20">
        <v>2</v>
      </c>
      <c r="D20" s="7">
        <f>_xlfn.XLOOKUP(E20,'[1]ECMS REFERENCE'!A:A,'[1]ECMS REFERENCE'!E:E,0)</f>
        <v>1.5</v>
      </c>
      <c r="E20" s="8" t="s">
        <v>67</v>
      </c>
      <c r="F20" t="s">
        <v>50</v>
      </c>
      <c r="G20" t="s">
        <v>17</v>
      </c>
      <c r="H20" t="s">
        <v>11</v>
      </c>
      <c r="I20" t="s">
        <v>11</v>
      </c>
      <c r="J20" t="s">
        <v>18</v>
      </c>
      <c r="M20">
        <v>1</v>
      </c>
      <c r="N20" t="s">
        <v>68</v>
      </c>
      <c r="O20" t="s">
        <v>17</v>
      </c>
      <c r="P20" t="s">
        <v>18</v>
      </c>
    </row>
    <row r="21" spans="1:16" x14ac:dyDescent="0.25">
      <c r="A21" t="s">
        <v>69</v>
      </c>
      <c r="B21">
        <v>4</v>
      </c>
      <c r="D21" s="7">
        <f>_xlfn.XLOOKUP(E21,'[1]ECMS REFERENCE'!A:A,'[1]ECMS REFERENCE'!E:E,0)</f>
        <v>1.5</v>
      </c>
      <c r="E21" s="8" t="s">
        <v>70</v>
      </c>
      <c r="F21" t="s">
        <v>50</v>
      </c>
      <c r="G21" t="s">
        <v>17</v>
      </c>
      <c r="H21" t="s">
        <v>11</v>
      </c>
      <c r="I21" t="s">
        <v>11</v>
      </c>
      <c r="J21" t="s">
        <v>18</v>
      </c>
      <c r="M21">
        <v>1</v>
      </c>
      <c r="N21" t="s">
        <v>71</v>
      </c>
      <c r="O21" t="s">
        <v>17</v>
      </c>
      <c r="P21" t="s">
        <v>39</v>
      </c>
    </row>
    <row r="22" spans="1:16" x14ac:dyDescent="0.25">
      <c r="A22" t="s">
        <v>11</v>
      </c>
      <c r="B22">
        <v>5</v>
      </c>
      <c r="D22" s="7">
        <f>_xlfn.XLOOKUP(E22,'[1]ECMS REFERENCE'!A:A,'[1]ECMS REFERENCE'!E:E,0)</f>
        <v>1.5</v>
      </c>
      <c r="E22" s="8" t="s">
        <v>72</v>
      </c>
      <c r="F22" t="s">
        <v>50</v>
      </c>
      <c r="G22" t="s">
        <v>17</v>
      </c>
      <c r="H22" t="s">
        <v>11</v>
      </c>
      <c r="I22" t="s">
        <v>11</v>
      </c>
      <c r="J22" t="s">
        <v>18</v>
      </c>
      <c r="M22">
        <v>1</v>
      </c>
      <c r="N22" t="s">
        <v>73</v>
      </c>
      <c r="O22" t="s">
        <v>17</v>
      </c>
      <c r="P22" t="s">
        <v>74</v>
      </c>
    </row>
    <row r="23" spans="1:16" x14ac:dyDescent="0.25">
      <c r="A23" t="s">
        <v>75</v>
      </c>
      <c r="B23">
        <v>6</v>
      </c>
      <c r="D23" s="7">
        <f>_xlfn.XLOOKUP(E23,'[1]ECMS REFERENCE'!A:A,'[1]ECMS REFERENCE'!E:E,0)</f>
        <v>1.5</v>
      </c>
      <c r="E23" s="8" t="s">
        <v>76</v>
      </c>
      <c r="F23" t="s">
        <v>50</v>
      </c>
      <c r="G23" t="s">
        <v>17</v>
      </c>
      <c r="H23" t="s">
        <v>11</v>
      </c>
      <c r="I23" t="s">
        <v>11</v>
      </c>
      <c r="J23" t="s">
        <v>18</v>
      </c>
      <c r="M23">
        <v>1</v>
      </c>
      <c r="N23" t="s">
        <v>77</v>
      </c>
      <c r="O23" t="s">
        <v>17</v>
      </c>
      <c r="P23" t="s">
        <v>20</v>
      </c>
    </row>
    <row r="24" spans="1:16" x14ac:dyDescent="0.25">
      <c r="D24" s="7">
        <f>_xlfn.XLOOKUP(E24,'[1]ECMS REFERENCE'!A:A,'[1]ECMS REFERENCE'!E:E,0)</f>
        <v>1.75</v>
      </c>
      <c r="E24" t="s">
        <v>78</v>
      </c>
      <c r="F24" t="s">
        <v>79</v>
      </c>
      <c r="G24" t="s">
        <v>17</v>
      </c>
      <c r="H24" t="s">
        <v>11</v>
      </c>
      <c r="I24" t="s">
        <v>11</v>
      </c>
      <c r="J24" t="s">
        <v>80</v>
      </c>
      <c r="M24">
        <v>1</v>
      </c>
      <c r="N24" t="s">
        <v>81</v>
      </c>
      <c r="O24" t="s">
        <v>17</v>
      </c>
      <c r="P24" t="s">
        <v>20</v>
      </c>
    </row>
    <row r="25" spans="1:16" x14ac:dyDescent="0.25">
      <c r="D25" s="7">
        <f>_xlfn.XLOOKUP(E25,'[1]ECMS REFERENCE'!A:A,'[1]ECMS REFERENCE'!E:E,0)</f>
        <v>1.75</v>
      </c>
      <c r="E25" t="s">
        <v>82</v>
      </c>
      <c r="F25" t="s">
        <v>79</v>
      </c>
      <c r="G25" t="s">
        <v>17</v>
      </c>
      <c r="H25" t="s">
        <v>11</v>
      </c>
      <c r="I25" t="s">
        <v>11</v>
      </c>
      <c r="J25" t="s">
        <v>18</v>
      </c>
      <c r="M25">
        <v>1</v>
      </c>
      <c r="N25" t="s">
        <v>83</v>
      </c>
      <c r="O25" t="s">
        <v>17</v>
      </c>
      <c r="P25" t="s">
        <v>18</v>
      </c>
    </row>
    <row r="26" spans="1:16" x14ac:dyDescent="0.25">
      <c r="A26" t="s">
        <v>8</v>
      </c>
      <c r="D26" s="7">
        <f>_xlfn.XLOOKUP(E26,'[1]ECMS REFERENCE'!A:A,'[1]ECMS REFERENCE'!E:E,0)</f>
        <v>1.75</v>
      </c>
      <c r="E26" t="s">
        <v>84</v>
      </c>
      <c r="F26" t="s">
        <v>85</v>
      </c>
      <c r="G26" t="s">
        <v>17</v>
      </c>
      <c r="H26" t="s">
        <v>11</v>
      </c>
      <c r="I26" t="s">
        <v>11</v>
      </c>
      <c r="J26" t="s">
        <v>18</v>
      </c>
      <c r="M26">
        <v>1</v>
      </c>
      <c r="N26" t="s">
        <v>86</v>
      </c>
      <c r="O26" t="s">
        <v>17</v>
      </c>
      <c r="P26" t="s">
        <v>87</v>
      </c>
    </row>
    <row r="27" spans="1:16" x14ac:dyDescent="0.25">
      <c r="A27" t="s">
        <v>18</v>
      </c>
      <c r="D27" s="7">
        <f>_xlfn.XLOOKUP(E27,'[1]ECMS REFERENCE'!A:A,'[1]ECMS REFERENCE'!E:E,0)</f>
        <v>1.75</v>
      </c>
      <c r="E27" t="s">
        <v>88</v>
      </c>
      <c r="F27" t="s">
        <v>89</v>
      </c>
      <c r="G27" t="s">
        <v>17</v>
      </c>
      <c r="H27" t="s">
        <v>11</v>
      </c>
      <c r="I27" t="s">
        <v>11</v>
      </c>
      <c r="J27" t="s">
        <v>29</v>
      </c>
      <c r="M27">
        <v>1</v>
      </c>
      <c r="N27" t="s">
        <v>90</v>
      </c>
      <c r="O27" t="s">
        <v>17</v>
      </c>
      <c r="P27" t="s">
        <v>12</v>
      </c>
    </row>
    <row r="28" spans="1:16" x14ac:dyDescent="0.25">
      <c r="A28" t="s">
        <v>91</v>
      </c>
      <c r="D28" s="7">
        <f>_xlfn.XLOOKUP(E28,'[1]ECMS REFERENCE'!A:A,'[1]ECMS REFERENCE'!E:E,0)</f>
        <v>1.75</v>
      </c>
      <c r="E28" t="s">
        <v>92</v>
      </c>
      <c r="F28" t="s">
        <v>89</v>
      </c>
      <c r="G28" t="s">
        <v>17</v>
      </c>
      <c r="H28" t="s">
        <v>11</v>
      </c>
      <c r="I28" t="s">
        <v>11</v>
      </c>
      <c r="J28" t="s">
        <v>87</v>
      </c>
      <c r="M28">
        <v>1.5</v>
      </c>
      <c r="N28" t="s">
        <v>93</v>
      </c>
      <c r="O28" t="s">
        <v>17</v>
      </c>
      <c r="P28" t="s">
        <v>18</v>
      </c>
    </row>
    <row r="29" spans="1:16" x14ac:dyDescent="0.25">
      <c r="A29" t="s">
        <v>94</v>
      </c>
      <c r="D29" s="7">
        <f>_xlfn.XLOOKUP(E29,'[1]ECMS REFERENCE'!A:A,'[1]ECMS REFERENCE'!E:E,0)</f>
        <v>1.75</v>
      </c>
      <c r="E29" t="s">
        <v>95</v>
      </c>
      <c r="F29" t="s">
        <v>79</v>
      </c>
      <c r="G29" t="s">
        <v>17</v>
      </c>
      <c r="H29" t="s">
        <v>11</v>
      </c>
      <c r="I29" t="s">
        <v>11</v>
      </c>
      <c r="J29" t="s">
        <v>12</v>
      </c>
      <c r="M29">
        <v>1.5</v>
      </c>
      <c r="N29" t="s">
        <v>96</v>
      </c>
      <c r="O29" t="s">
        <v>66</v>
      </c>
      <c r="P29" t="s">
        <v>18</v>
      </c>
    </row>
    <row r="30" spans="1:16" x14ac:dyDescent="0.25">
      <c r="A30" t="s">
        <v>80</v>
      </c>
      <c r="D30" s="7">
        <f>_xlfn.XLOOKUP(E30,'[1]ECMS REFERENCE'!A:A,'[1]ECMS REFERENCE'!E:E,0)</f>
        <v>1.75</v>
      </c>
      <c r="E30" s="8" t="s">
        <v>97</v>
      </c>
      <c r="F30" t="s">
        <v>85</v>
      </c>
      <c r="G30" t="s">
        <v>11</v>
      </c>
      <c r="H30" t="s">
        <v>11</v>
      </c>
      <c r="I30" t="s">
        <v>11</v>
      </c>
      <c r="J30" t="s">
        <v>18</v>
      </c>
      <c r="M30">
        <v>1.75</v>
      </c>
      <c r="N30" t="s">
        <v>98</v>
      </c>
      <c r="O30" t="s">
        <v>17</v>
      </c>
      <c r="P30" t="s">
        <v>99</v>
      </c>
    </row>
    <row r="31" spans="1:16" x14ac:dyDescent="0.25">
      <c r="A31" t="s">
        <v>87</v>
      </c>
      <c r="D31" s="7">
        <f>_xlfn.XLOOKUP(E31,'[1]ECMS REFERENCE'!A:A,'[1]ECMS REFERENCE'!E:E,0)</f>
        <v>1.75</v>
      </c>
      <c r="E31" s="8" t="s">
        <v>100</v>
      </c>
      <c r="F31" t="s">
        <v>85</v>
      </c>
      <c r="G31" t="s">
        <v>11</v>
      </c>
      <c r="H31" t="s">
        <v>11</v>
      </c>
      <c r="I31" t="s">
        <v>11</v>
      </c>
      <c r="J31" t="s">
        <v>18</v>
      </c>
      <c r="M31">
        <v>1.75</v>
      </c>
      <c r="N31" t="s">
        <v>101</v>
      </c>
      <c r="O31" t="s">
        <v>17</v>
      </c>
      <c r="P31" t="s">
        <v>99</v>
      </c>
    </row>
    <row r="32" spans="1:16" x14ac:dyDescent="0.25">
      <c r="A32" t="s">
        <v>39</v>
      </c>
      <c r="D32" s="7">
        <f>_xlfn.XLOOKUP(E32,'[1]ECMS REFERENCE'!A:A,'[1]ECMS REFERENCE'!E:E,0)</f>
        <v>1.75</v>
      </c>
      <c r="E32" s="8" t="s">
        <v>102</v>
      </c>
      <c r="F32" t="s">
        <v>79</v>
      </c>
      <c r="G32" t="s">
        <v>17</v>
      </c>
      <c r="H32" t="s">
        <v>11</v>
      </c>
      <c r="I32" t="s">
        <v>11</v>
      </c>
      <c r="J32" t="s">
        <v>12</v>
      </c>
      <c r="M32">
        <v>1.75</v>
      </c>
      <c r="N32" t="s">
        <v>103</v>
      </c>
      <c r="O32" t="s">
        <v>17</v>
      </c>
      <c r="P32" t="s">
        <v>99</v>
      </c>
    </row>
    <row r="33" spans="1:16" x14ac:dyDescent="0.25">
      <c r="A33" t="s">
        <v>20</v>
      </c>
      <c r="D33" s="7">
        <f>_xlfn.XLOOKUP(E33,'[1]ECMS REFERENCE'!A:A,'[1]ECMS REFERENCE'!E:E,0)</f>
        <v>1.75</v>
      </c>
      <c r="E33" s="8" t="s">
        <v>104</v>
      </c>
      <c r="F33" t="s">
        <v>85</v>
      </c>
      <c r="G33" t="s">
        <v>11</v>
      </c>
      <c r="H33" t="s">
        <v>11</v>
      </c>
      <c r="I33" t="s">
        <v>11</v>
      </c>
      <c r="J33" t="s">
        <v>18</v>
      </c>
      <c r="M33">
        <v>1.75</v>
      </c>
      <c r="N33" t="s">
        <v>105</v>
      </c>
      <c r="O33" t="s">
        <v>11</v>
      </c>
      <c r="P33" t="s">
        <v>99</v>
      </c>
    </row>
    <row r="34" spans="1:16" x14ac:dyDescent="0.25">
      <c r="A34" t="s">
        <v>74</v>
      </c>
      <c r="D34" s="7">
        <f>_xlfn.XLOOKUP(E34,'[1]ECMS REFERENCE'!A:A,'[1]ECMS REFERENCE'!E:E,0)</f>
        <v>1.75</v>
      </c>
      <c r="E34" s="8" t="s">
        <v>106</v>
      </c>
      <c r="F34" t="s">
        <v>79</v>
      </c>
      <c r="G34" t="s">
        <v>17</v>
      </c>
      <c r="H34" t="s">
        <v>11</v>
      </c>
      <c r="I34" t="s">
        <v>11</v>
      </c>
      <c r="J34" t="s">
        <v>18</v>
      </c>
      <c r="M34">
        <v>2</v>
      </c>
      <c r="N34" t="s">
        <v>107</v>
      </c>
      <c r="O34" t="s">
        <v>63</v>
      </c>
      <c r="P34" t="s">
        <v>12</v>
      </c>
    </row>
    <row r="35" spans="1:16" x14ac:dyDescent="0.25">
      <c r="A35" t="s">
        <v>29</v>
      </c>
      <c r="D35" s="7">
        <f>_xlfn.XLOOKUP(E35,'[1]ECMS REFERENCE'!A:A,'[1]ECMS REFERENCE'!E:E,0)</f>
        <v>1.75</v>
      </c>
      <c r="E35" s="8" t="s">
        <v>108</v>
      </c>
      <c r="F35" t="s">
        <v>109</v>
      </c>
      <c r="G35" t="s">
        <v>17</v>
      </c>
      <c r="H35" t="s">
        <v>11</v>
      </c>
      <c r="I35" t="s">
        <v>11</v>
      </c>
      <c r="J35" t="s">
        <v>18</v>
      </c>
      <c r="M35">
        <v>2</v>
      </c>
      <c r="N35" t="s">
        <v>110</v>
      </c>
      <c r="O35" t="s">
        <v>63</v>
      </c>
      <c r="P35" t="s">
        <v>12</v>
      </c>
    </row>
    <row r="36" spans="1:16" x14ac:dyDescent="0.25">
      <c r="A36" t="s">
        <v>111</v>
      </c>
      <c r="D36" s="7">
        <f>_xlfn.XLOOKUP(E36,'[1]ECMS REFERENCE'!A:A,'[1]ECMS REFERENCE'!E:E,0)</f>
        <v>1.75</v>
      </c>
      <c r="E36" s="8" t="s">
        <v>112</v>
      </c>
      <c r="F36" t="s">
        <v>79</v>
      </c>
      <c r="G36" t="s">
        <v>17</v>
      </c>
      <c r="H36" t="s">
        <v>11</v>
      </c>
      <c r="I36" t="s">
        <v>11</v>
      </c>
      <c r="J36" t="s">
        <v>80</v>
      </c>
      <c r="M36">
        <v>2</v>
      </c>
      <c r="N36" t="s">
        <v>113</v>
      </c>
      <c r="O36" t="s">
        <v>63</v>
      </c>
      <c r="P36" t="s">
        <v>12</v>
      </c>
    </row>
    <row r="37" spans="1:16" x14ac:dyDescent="0.25">
      <c r="A37" t="s">
        <v>114</v>
      </c>
      <c r="D37" s="7">
        <f>_xlfn.XLOOKUP(E37,'[1]ECMS REFERENCE'!A:A,'[1]ECMS REFERENCE'!E:E,0)</f>
        <v>1.75</v>
      </c>
      <c r="E37" s="8" t="s">
        <v>115</v>
      </c>
      <c r="F37" t="s">
        <v>85</v>
      </c>
      <c r="G37" t="s">
        <v>11</v>
      </c>
      <c r="H37" t="s">
        <v>11</v>
      </c>
      <c r="I37" t="s">
        <v>11</v>
      </c>
      <c r="J37" t="s">
        <v>18</v>
      </c>
      <c r="M37">
        <v>2</v>
      </c>
      <c r="N37" t="s">
        <v>116</v>
      </c>
      <c r="O37" t="s">
        <v>63</v>
      </c>
      <c r="P37" t="s">
        <v>12</v>
      </c>
    </row>
    <row r="38" spans="1:16" x14ac:dyDescent="0.25">
      <c r="A38" t="s">
        <v>117</v>
      </c>
      <c r="D38" s="7">
        <f>_xlfn.XLOOKUP(E38,'[1]ECMS REFERENCE'!A:A,'[1]ECMS REFERENCE'!E:E,0)</f>
        <v>1.75</v>
      </c>
      <c r="E38" s="8" t="s">
        <v>118</v>
      </c>
      <c r="F38" t="s">
        <v>85</v>
      </c>
      <c r="G38" t="s">
        <v>17</v>
      </c>
      <c r="H38" t="s">
        <v>11</v>
      </c>
      <c r="I38" t="s">
        <v>11</v>
      </c>
      <c r="J38" t="s">
        <v>18</v>
      </c>
      <c r="M38">
        <v>2</v>
      </c>
      <c r="N38" t="s">
        <v>119</v>
      </c>
      <c r="O38" t="s">
        <v>63</v>
      </c>
      <c r="P38" t="s">
        <v>12</v>
      </c>
    </row>
    <row r="39" spans="1:16" x14ac:dyDescent="0.25">
      <c r="A39" t="s">
        <v>12</v>
      </c>
      <c r="D39" s="7">
        <f>_xlfn.XLOOKUP(E39,'[1]ECMS REFERENCE'!A:A,'[1]ECMS REFERENCE'!E:E,0)</f>
        <v>2</v>
      </c>
      <c r="E39" t="s">
        <v>120</v>
      </c>
      <c r="F39" t="s">
        <v>121</v>
      </c>
      <c r="G39" t="s">
        <v>11</v>
      </c>
      <c r="H39" t="s">
        <v>11</v>
      </c>
      <c r="I39" t="s">
        <v>11</v>
      </c>
      <c r="J39" t="s">
        <v>12</v>
      </c>
      <c r="M39">
        <v>2</v>
      </c>
      <c r="N39" t="s">
        <v>122</v>
      </c>
      <c r="O39" t="s">
        <v>63</v>
      </c>
      <c r="P39" t="s">
        <v>12</v>
      </c>
    </row>
    <row r="40" spans="1:16" x14ac:dyDescent="0.25">
      <c r="A40" t="s">
        <v>99</v>
      </c>
      <c r="D40" s="7">
        <f>_xlfn.XLOOKUP(E40,'[1]ECMS REFERENCE'!A:A,'[1]ECMS REFERENCE'!E:E,0)</f>
        <v>2</v>
      </c>
      <c r="E40" t="s">
        <v>123</v>
      </c>
      <c r="F40" t="s">
        <v>124</v>
      </c>
      <c r="G40" t="s">
        <v>11</v>
      </c>
      <c r="H40" t="s">
        <v>11</v>
      </c>
      <c r="I40" t="s">
        <v>11</v>
      </c>
      <c r="J40" t="s">
        <v>12</v>
      </c>
      <c r="M40">
        <v>2</v>
      </c>
      <c r="N40" t="s">
        <v>125</v>
      </c>
      <c r="O40" t="s">
        <v>63</v>
      </c>
      <c r="P40" t="s">
        <v>114</v>
      </c>
    </row>
    <row r="41" spans="1:16" x14ac:dyDescent="0.25">
      <c r="D41" s="7">
        <f>_xlfn.XLOOKUP(E41,'[1]ECMS REFERENCE'!A:A,'[1]ECMS REFERENCE'!E:E,0)</f>
        <v>2</v>
      </c>
      <c r="E41" t="s">
        <v>126</v>
      </c>
      <c r="F41" t="s">
        <v>127</v>
      </c>
      <c r="G41" t="s">
        <v>11</v>
      </c>
      <c r="H41" t="s">
        <v>11</v>
      </c>
      <c r="I41" t="s">
        <v>11</v>
      </c>
      <c r="J41" t="s">
        <v>12</v>
      </c>
      <c r="M41">
        <v>2</v>
      </c>
      <c r="N41" t="s">
        <v>128</v>
      </c>
      <c r="O41" t="s">
        <v>63</v>
      </c>
      <c r="P41" t="s">
        <v>12</v>
      </c>
    </row>
    <row r="42" spans="1:16" x14ac:dyDescent="0.25">
      <c r="D42" s="7">
        <f>_xlfn.XLOOKUP(E42,'[1]ECMS REFERENCE'!A:A,'[1]ECMS REFERENCE'!E:E,0)</f>
        <v>2</v>
      </c>
      <c r="E42" t="s">
        <v>129</v>
      </c>
      <c r="F42" t="s">
        <v>124</v>
      </c>
      <c r="G42" t="s">
        <v>11</v>
      </c>
      <c r="H42" t="s">
        <v>11</v>
      </c>
      <c r="I42" t="s">
        <v>11</v>
      </c>
      <c r="J42" t="s">
        <v>12</v>
      </c>
      <c r="M42">
        <v>2</v>
      </c>
      <c r="N42" t="s">
        <v>130</v>
      </c>
      <c r="O42" t="s">
        <v>63</v>
      </c>
      <c r="P42" t="s">
        <v>12</v>
      </c>
    </row>
    <row r="43" spans="1:16" x14ac:dyDescent="0.25">
      <c r="D43" s="7">
        <f>_xlfn.XLOOKUP(E43,'[1]ECMS REFERENCE'!A:A,'[1]ECMS REFERENCE'!E:E,0)</f>
        <v>2</v>
      </c>
      <c r="E43" s="8" t="s">
        <v>131</v>
      </c>
      <c r="F43" t="s">
        <v>132</v>
      </c>
      <c r="G43" t="s">
        <v>11</v>
      </c>
      <c r="H43" t="s">
        <v>11</v>
      </c>
      <c r="I43" t="s">
        <v>11</v>
      </c>
      <c r="J43" t="s">
        <v>12</v>
      </c>
      <c r="M43">
        <v>3</v>
      </c>
      <c r="N43" t="s">
        <v>133</v>
      </c>
      <c r="O43" t="s">
        <v>66</v>
      </c>
      <c r="P43" t="s">
        <v>12</v>
      </c>
    </row>
    <row r="44" spans="1:16" x14ac:dyDescent="0.25">
      <c r="D44" s="7">
        <f>_xlfn.XLOOKUP(E44,'[1]ECMS REFERENCE'!A:A,'[1]ECMS REFERENCE'!E:E,0)</f>
        <v>2</v>
      </c>
      <c r="E44" s="8" t="s">
        <v>120</v>
      </c>
      <c r="F44" t="s">
        <v>121</v>
      </c>
      <c r="G44" t="s">
        <v>11</v>
      </c>
      <c r="H44" t="s">
        <v>11</v>
      </c>
      <c r="I44" t="s">
        <v>11</v>
      </c>
      <c r="J44" t="s">
        <v>12</v>
      </c>
      <c r="M44">
        <v>3</v>
      </c>
      <c r="N44" t="s">
        <v>134</v>
      </c>
      <c r="O44" t="s">
        <v>66</v>
      </c>
      <c r="P44" t="s">
        <v>12</v>
      </c>
    </row>
    <row r="45" spans="1:16" x14ac:dyDescent="0.25">
      <c r="D45" s="7">
        <f>_xlfn.XLOOKUP(E45,'[1]ECMS REFERENCE'!A:A,'[1]ECMS REFERENCE'!E:E,0)</f>
        <v>2</v>
      </c>
      <c r="E45" s="8" t="s">
        <v>135</v>
      </c>
      <c r="F45" t="s">
        <v>124</v>
      </c>
      <c r="G45" t="s">
        <v>11</v>
      </c>
      <c r="H45" t="s">
        <v>11</v>
      </c>
      <c r="I45" t="s">
        <v>11</v>
      </c>
      <c r="J45" t="s">
        <v>12</v>
      </c>
      <c r="M45">
        <v>3</v>
      </c>
      <c r="N45" t="s">
        <v>136</v>
      </c>
      <c r="O45" t="s">
        <v>66</v>
      </c>
      <c r="P45" t="s">
        <v>114</v>
      </c>
    </row>
    <row r="46" spans="1:16" x14ac:dyDescent="0.25">
      <c r="D46" s="7">
        <f>_xlfn.XLOOKUP(E46,'[1]ECMS REFERENCE'!A:A,'[1]ECMS REFERENCE'!E:E,0)</f>
        <v>2</v>
      </c>
      <c r="E46" s="8" t="s">
        <v>137</v>
      </c>
      <c r="F46" t="s">
        <v>124</v>
      </c>
      <c r="G46" t="s">
        <v>11</v>
      </c>
      <c r="H46" t="s">
        <v>11</v>
      </c>
      <c r="I46" t="s">
        <v>11</v>
      </c>
      <c r="J46" t="s">
        <v>12</v>
      </c>
      <c r="M46">
        <v>3</v>
      </c>
      <c r="N46" t="s">
        <v>138</v>
      </c>
      <c r="O46" t="s">
        <v>66</v>
      </c>
      <c r="P46" t="s">
        <v>12</v>
      </c>
    </row>
    <row r="47" spans="1:16" x14ac:dyDescent="0.25">
      <c r="D47" s="7">
        <f>_xlfn.XLOOKUP(E47,'[1]ECMS REFERENCE'!A:A,'[1]ECMS REFERENCE'!E:E,0)</f>
        <v>2</v>
      </c>
      <c r="E47" t="s">
        <v>139</v>
      </c>
      <c r="F47" t="s">
        <v>140</v>
      </c>
      <c r="G47" t="s">
        <v>17</v>
      </c>
      <c r="H47" t="s">
        <v>11</v>
      </c>
      <c r="I47" t="s">
        <v>11</v>
      </c>
      <c r="J47" t="s">
        <v>18</v>
      </c>
      <c r="M47">
        <v>3</v>
      </c>
      <c r="N47" t="s">
        <v>141</v>
      </c>
      <c r="O47" t="s">
        <v>66</v>
      </c>
      <c r="P47" t="s">
        <v>12</v>
      </c>
    </row>
    <row r="48" spans="1:16" x14ac:dyDescent="0.25">
      <c r="D48" s="7">
        <f>_xlfn.XLOOKUP(E48,'[1]ECMS REFERENCE'!A:A,'[1]ECMS REFERENCE'!E:E,0)</f>
        <v>2</v>
      </c>
      <c r="E48" s="8" t="s">
        <v>142</v>
      </c>
      <c r="F48" t="s">
        <v>121</v>
      </c>
      <c r="G48" t="s">
        <v>11</v>
      </c>
      <c r="H48" t="s">
        <v>11</v>
      </c>
      <c r="I48" t="s">
        <v>11</v>
      </c>
      <c r="J48" t="s">
        <v>12</v>
      </c>
      <c r="M48">
        <v>3</v>
      </c>
      <c r="N48" t="s">
        <v>143</v>
      </c>
      <c r="O48" t="s">
        <v>66</v>
      </c>
      <c r="P48" t="s">
        <v>39</v>
      </c>
    </row>
    <row r="49" spans="4:16" x14ac:dyDescent="0.25">
      <c r="D49" s="7">
        <f>_xlfn.XLOOKUP(E49,'[1]ECMS REFERENCE'!A:A,'[1]ECMS REFERENCE'!E:E,0)</f>
        <v>2.5</v>
      </c>
      <c r="E49" t="s">
        <v>144</v>
      </c>
      <c r="F49" t="s">
        <v>124</v>
      </c>
      <c r="G49" t="s">
        <v>11</v>
      </c>
      <c r="H49" t="s">
        <v>11</v>
      </c>
      <c r="I49" t="s">
        <v>11</v>
      </c>
      <c r="J49" t="s">
        <v>12</v>
      </c>
      <c r="M49">
        <v>3</v>
      </c>
      <c r="N49" t="s">
        <v>145</v>
      </c>
      <c r="O49" t="s">
        <v>66</v>
      </c>
      <c r="P49" t="s">
        <v>12</v>
      </c>
    </row>
    <row r="50" spans="4:16" x14ac:dyDescent="0.25">
      <c r="D50" s="7">
        <f>_xlfn.XLOOKUP(E50,'[1]ECMS REFERENCE'!A:A,'[1]ECMS REFERENCE'!E:E,0)</f>
        <v>2.5</v>
      </c>
      <c r="E50" t="s">
        <v>146</v>
      </c>
      <c r="F50" t="s">
        <v>147</v>
      </c>
      <c r="G50" t="s">
        <v>11</v>
      </c>
      <c r="H50" t="s">
        <v>11</v>
      </c>
      <c r="I50" t="s">
        <v>11</v>
      </c>
      <c r="J50" t="s">
        <v>12</v>
      </c>
      <c r="M50">
        <v>3</v>
      </c>
      <c r="N50" t="s">
        <v>148</v>
      </c>
      <c r="O50" t="s">
        <v>66</v>
      </c>
      <c r="P50" t="s">
        <v>12</v>
      </c>
    </row>
    <row r="51" spans="4:16" x14ac:dyDescent="0.25">
      <c r="D51" s="7">
        <f>_xlfn.XLOOKUP(E51,'[1]ECMS REFERENCE'!A:A,'[1]ECMS REFERENCE'!E:E,0)</f>
        <v>2.5</v>
      </c>
      <c r="E51" t="s">
        <v>149</v>
      </c>
      <c r="F51" t="s">
        <v>132</v>
      </c>
      <c r="G51" t="s">
        <v>11</v>
      </c>
      <c r="H51" t="s">
        <v>11</v>
      </c>
      <c r="I51" t="s">
        <v>11</v>
      </c>
      <c r="J51" t="s">
        <v>12</v>
      </c>
      <c r="M51">
        <v>3</v>
      </c>
      <c r="N51" t="s">
        <v>150</v>
      </c>
      <c r="O51" t="s">
        <v>66</v>
      </c>
      <c r="P51" t="s">
        <v>87</v>
      </c>
    </row>
    <row r="52" spans="4:16" x14ac:dyDescent="0.25">
      <c r="D52" s="7">
        <f>_xlfn.XLOOKUP(E52,'[1]ECMS REFERENCE'!A:A,'[1]ECMS REFERENCE'!E:E,0)</f>
        <v>2.5</v>
      </c>
      <c r="E52" s="8" t="s">
        <v>151</v>
      </c>
      <c r="F52" t="s">
        <v>147</v>
      </c>
      <c r="G52" t="s">
        <v>11</v>
      </c>
      <c r="H52" t="s">
        <v>11</v>
      </c>
      <c r="I52" t="s">
        <v>11</v>
      </c>
      <c r="J52" t="s">
        <v>12</v>
      </c>
      <c r="M52">
        <v>3</v>
      </c>
      <c r="N52" t="s">
        <v>152</v>
      </c>
      <c r="O52" t="s">
        <v>66</v>
      </c>
      <c r="P52" t="s">
        <v>12</v>
      </c>
    </row>
    <row r="53" spans="4:16" x14ac:dyDescent="0.25">
      <c r="D53" s="7">
        <f>_xlfn.XLOOKUP(E53,'[1]ECMS REFERENCE'!A:A,'[1]ECMS REFERENCE'!E:E,0)</f>
        <v>2.5</v>
      </c>
      <c r="E53" s="8" t="s">
        <v>153</v>
      </c>
      <c r="F53" t="s">
        <v>147</v>
      </c>
      <c r="G53" t="s">
        <v>11</v>
      </c>
      <c r="H53" t="s">
        <v>11</v>
      </c>
      <c r="I53" t="s">
        <v>11</v>
      </c>
      <c r="J53" t="s">
        <v>12</v>
      </c>
      <c r="M53">
        <v>3</v>
      </c>
      <c r="N53" t="s">
        <v>154</v>
      </c>
      <c r="O53" t="s">
        <v>66</v>
      </c>
      <c r="P53" t="s">
        <v>80</v>
      </c>
    </row>
    <row r="54" spans="4:16" x14ac:dyDescent="0.25">
      <c r="D54" s="7">
        <f>_xlfn.XLOOKUP(E54,'[1]ECMS REFERENCE'!A:A,'[1]ECMS REFERENCE'!E:E,0)</f>
        <v>2.5</v>
      </c>
      <c r="E54" s="8" t="s">
        <v>155</v>
      </c>
      <c r="F54" t="s">
        <v>147</v>
      </c>
      <c r="G54" t="s">
        <v>11</v>
      </c>
      <c r="H54" t="s">
        <v>11</v>
      </c>
      <c r="I54" t="s">
        <v>11</v>
      </c>
      <c r="J54" t="s">
        <v>12</v>
      </c>
      <c r="M54">
        <v>3</v>
      </c>
      <c r="N54" t="s">
        <v>156</v>
      </c>
      <c r="O54" t="s">
        <v>66</v>
      </c>
      <c r="P54" t="s">
        <v>12</v>
      </c>
    </row>
    <row r="55" spans="4:16" x14ac:dyDescent="0.25">
      <c r="D55" s="7">
        <f>_xlfn.XLOOKUP(E55,'[1]ECMS REFERENCE'!A:A,'[1]ECMS REFERENCE'!E:E,0)</f>
        <v>2.5</v>
      </c>
      <c r="E55" s="8" t="s">
        <v>146</v>
      </c>
      <c r="F55" t="s">
        <v>147</v>
      </c>
      <c r="G55" t="s">
        <v>11</v>
      </c>
      <c r="H55" t="s">
        <v>11</v>
      </c>
      <c r="I55" t="s">
        <v>11</v>
      </c>
      <c r="J55" t="s">
        <v>12</v>
      </c>
      <c r="M55">
        <v>3</v>
      </c>
      <c r="N55" t="s">
        <v>157</v>
      </c>
      <c r="O55" t="s">
        <v>66</v>
      </c>
      <c r="P55" t="s">
        <v>12</v>
      </c>
    </row>
    <row r="56" spans="4:16" x14ac:dyDescent="0.25">
      <c r="D56" s="7">
        <f>_xlfn.XLOOKUP(E56,'[1]ECMS REFERENCE'!A:A,'[1]ECMS REFERENCE'!E:E,0)</f>
        <v>2.5</v>
      </c>
      <c r="E56" t="s">
        <v>158</v>
      </c>
      <c r="F56" t="s">
        <v>147</v>
      </c>
      <c r="G56" t="s">
        <v>11</v>
      </c>
      <c r="H56" t="s">
        <v>11</v>
      </c>
      <c r="I56" t="s">
        <v>11</v>
      </c>
      <c r="J56" t="s">
        <v>12</v>
      </c>
      <c r="M56">
        <v>3</v>
      </c>
      <c r="N56" t="s">
        <v>159</v>
      </c>
      <c r="O56" t="s">
        <v>66</v>
      </c>
      <c r="P56" t="s">
        <v>12</v>
      </c>
    </row>
    <row r="57" spans="4:16" x14ac:dyDescent="0.25">
      <c r="D57" s="7">
        <f>_xlfn.XLOOKUP(E57,'[1]ECMS REFERENCE'!A:A,'[1]ECMS REFERENCE'!E:E,0)</f>
        <v>2.5</v>
      </c>
      <c r="E57" s="8" t="s">
        <v>160</v>
      </c>
      <c r="F57" t="s">
        <v>124</v>
      </c>
      <c r="G57" t="s">
        <v>11</v>
      </c>
      <c r="H57" t="s">
        <v>11</v>
      </c>
      <c r="I57" t="s">
        <v>11</v>
      </c>
      <c r="J57" t="s">
        <v>12</v>
      </c>
      <c r="M57">
        <v>3</v>
      </c>
      <c r="N57" t="s">
        <v>161</v>
      </c>
      <c r="O57" t="s">
        <v>66</v>
      </c>
      <c r="P57" t="s">
        <v>114</v>
      </c>
    </row>
    <row r="58" spans="4:16" x14ac:dyDescent="0.25">
      <c r="D58" s="7">
        <f>_xlfn.XLOOKUP(E58,'[1]ECMS REFERENCE'!A:A,'[1]ECMS REFERENCE'!E:E,0)</f>
        <v>2.5</v>
      </c>
      <c r="E58" s="8" t="s">
        <v>162</v>
      </c>
      <c r="F58" t="s">
        <v>147</v>
      </c>
      <c r="G58" t="s">
        <v>11</v>
      </c>
      <c r="H58" t="s">
        <v>11</v>
      </c>
      <c r="I58" t="s">
        <v>11</v>
      </c>
      <c r="J58" t="s">
        <v>12</v>
      </c>
      <c r="M58">
        <v>3</v>
      </c>
      <c r="N58" t="s">
        <v>163</v>
      </c>
      <c r="O58" t="s">
        <v>66</v>
      </c>
      <c r="P58" t="s">
        <v>20</v>
      </c>
    </row>
    <row r="59" spans="4:16" x14ac:dyDescent="0.25">
      <c r="D59" s="7">
        <f>_xlfn.XLOOKUP(E59,'[1]ECMS REFERENCE'!A:A,'[1]ECMS REFERENCE'!E:E,0)</f>
        <v>2.5</v>
      </c>
      <c r="E59" s="8" t="s">
        <v>164</v>
      </c>
      <c r="F59" t="s">
        <v>124</v>
      </c>
      <c r="G59" t="s">
        <v>11</v>
      </c>
      <c r="H59" t="s">
        <v>11</v>
      </c>
      <c r="I59" t="s">
        <v>11</v>
      </c>
      <c r="J59" t="s">
        <v>12</v>
      </c>
      <c r="M59">
        <v>3</v>
      </c>
      <c r="N59" t="s">
        <v>165</v>
      </c>
      <c r="O59" t="s">
        <v>66</v>
      </c>
      <c r="P59" t="s">
        <v>12</v>
      </c>
    </row>
    <row r="60" spans="4:16" x14ac:dyDescent="0.25">
      <c r="D60" s="7">
        <f>_xlfn.XLOOKUP(E60,'[1]ECMS REFERENCE'!A:A,'[1]ECMS REFERENCE'!E:E,0)</f>
        <v>2.75</v>
      </c>
      <c r="E60" t="s">
        <v>166</v>
      </c>
      <c r="F60" t="s">
        <v>147</v>
      </c>
      <c r="G60" t="s">
        <v>11</v>
      </c>
      <c r="H60" t="s">
        <v>11</v>
      </c>
      <c r="I60" t="s">
        <v>11</v>
      </c>
      <c r="J60" t="s">
        <v>12</v>
      </c>
      <c r="M60">
        <v>3</v>
      </c>
      <c r="N60" t="s">
        <v>167</v>
      </c>
      <c r="O60" t="s">
        <v>66</v>
      </c>
      <c r="P60" t="s">
        <v>114</v>
      </c>
    </row>
    <row r="61" spans="4:16" x14ac:dyDescent="0.25">
      <c r="D61" s="7">
        <f>_xlfn.XLOOKUP(E61,'[1]ECMS REFERENCE'!A:A,'[1]ECMS REFERENCE'!E:E,0)</f>
        <v>2.75</v>
      </c>
      <c r="E61" t="s">
        <v>168</v>
      </c>
      <c r="F61" t="s">
        <v>147</v>
      </c>
      <c r="G61" t="s">
        <v>11</v>
      </c>
      <c r="H61" t="s">
        <v>11</v>
      </c>
      <c r="I61" t="s">
        <v>11</v>
      </c>
      <c r="J61" t="s">
        <v>12</v>
      </c>
      <c r="M61">
        <v>3</v>
      </c>
      <c r="N61" t="s">
        <v>169</v>
      </c>
      <c r="O61" t="s">
        <v>66</v>
      </c>
      <c r="P61" t="s">
        <v>12</v>
      </c>
    </row>
    <row r="62" spans="4:16" x14ac:dyDescent="0.25">
      <c r="D62" s="7">
        <f>_xlfn.XLOOKUP(E62,'[1]ECMS REFERENCE'!A:A,'[1]ECMS REFERENCE'!E:E,0)</f>
        <v>2.75</v>
      </c>
      <c r="E62" t="s">
        <v>170</v>
      </c>
      <c r="F62" t="s">
        <v>147</v>
      </c>
      <c r="G62" t="s">
        <v>11</v>
      </c>
      <c r="H62" t="s">
        <v>11</v>
      </c>
      <c r="I62" t="s">
        <v>11</v>
      </c>
      <c r="J62" t="s">
        <v>12</v>
      </c>
      <c r="M62">
        <v>3</v>
      </c>
      <c r="N62" t="s">
        <v>171</v>
      </c>
      <c r="O62" t="s">
        <v>66</v>
      </c>
      <c r="P62" t="s">
        <v>12</v>
      </c>
    </row>
    <row r="63" spans="4:16" x14ac:dyDescent="0.25">
      <c r="D63" s="7">
        <f>_xlfn.XLOOKUP(E63,'[1]ECMS REFERENCE'!A:A,'[1]ECMS REFERENCE'!E:E,0)</f>
        <v>2.75</v>
      </c>
      <c r="E63" t="s">
        <v>172</v>
      </c>
      <c r="F63" t="s">
        <v>147</v>
      </c>
      <c r="G63" t="s">
        <v>11</v>
      </c>
      <c r="H63" t="s">
        <v>11</v>
      </c>
      <c r="I63" t="s">
        <v>11</v>
      </c>
      <c r="J63" t="s">
        <v>12</v>
      </c>
      <c r="M63">
        <v>3</v>
      </c>
      <c r="N63" t="s">
        <v>173</v>
      </c>
      <c r="O63" t="s">
        <v>66</v>
      </c>
      <c r="P63" t="s">
        <v>18</v>
      </c>
    </row>
    <row r="64" spans="4:16" x14ac:dyDescent="0.25">
      <c r="D64" s="7">
        <f>_xlfn.XLOOKUP(E64,'[1]ECMS REFERENCE'!A:A,'[1]ECMS REFERENCE'!E:E,0)</f>
        <v>2.75</v>
      </c>
      <c r="E64" t="s">
        <v>174</v>
      </c>
      <c r="F64" t="s">
        <v>147</v>
      </c>
      <c r="G64" t="s">
        <v>11</v>
      </c>
      <c r="H64" t="s">
        <v>11</v>
      </c>
      <c r="I64" t="s">
        <v>11</v>
      </c>
      <c r="J64" t="s">
        <v>12</v>
      </c>
      <c r="M64">
        <v>3</v>
      </c>
      <c r="N64" t="s">
        <v>175</v>
      </c>
      <c r="O64" t="s">
        <v>66</v>
      </c>
      <c r="P64" t="s">
        <v>12</v>
      </c>
    </row>
    <row r="65" spans="4:16" x14ac:dyDescent="0.25">
      <c r="D65" s="7">
        <f>_xlfn.XLOOKUP(E65,'[1]ECMS REFERENCE'!A:A,'[1]ECMS REFERENCE'!E:E,0)</f>
        <v>2.75</v>
      </c>
      <c r="E65" t="s">
        <v>176</v>
      </c>
      <c r="F65" t="s">
        <v>147</v>
      </c>
      <c r="G65" t="s">
        <v>11</v>
      </c>
      <c r="H65" t="s">
        <v>11</v>
      </c>
      <c r="I65" t="s">
        <v>11</v>
      </c>
      <c r="J65" t="s">
        <v>12</v>
      </c>
      <c r="M65">
        <v>3</v>
      </c>
      <c r="N65" t="s">
        <v>177</v>
      </c>
      <c r="O65" t="s">
        <v>66</v>
      </c>
      <c r="P65" t="s">
        <v>18</v>
      </c>
    </row>
    <row r="66" spans="4:16" x14ac:dyDescent="0.25">
      <c r="D66" s="7">
        <f>_xlfn.XLOOKUP(E66,'[1]ECMS REFERENCE'!A:A,'[1]ECMS REFERENCE'!E:E,0)</f>
        <v>2.75</v>
      </c>
      <c r="E66" t="s">
        <v>178</v>
      </c>
      <c r="F66" t="s">
        <v>147</v>
      </c>
      <c r="G66" t="s">
        <v>11</v>
      </c>
      <c r="H66" t="s">
        <v>11</v>
      </c>
      <c r="I66" t="s">
        <v>11</v>
      </c>
      <c r="J66" t="s">
        <v>12</v>
      </c>
      <c r="M66">
        <v>3</v>
      </c>
      <c r="N66" t="s">
        <v>179</v>
      </c>
      <c r="O66" t="s">
        <v>66</v>
      </c>
      <c r="P66" t="s">
        <v>114</v>
      </c>
    </row>
    <row r="67" spans="4:16" x14ac:dyDescent="0.25">
      <c r="D67" s="7">
        <f>_xlfn.XLOOKUP(E67,'[1]ECMS REFERENCE'!A:A,'[1]ECMS REFERENCE'!E:E,0)</f>
        <v>2.75</v>
      </c>
      <c r="E67" t="s">
        <v>180</v>
      </c>
      <c r="F67" t="s">
        <v>147</v>
      </c>
      <c r="G67" t="s">
        <v>11</v>
      </c>
      <c r="H67" t="s">
        <v>11</v>
      </c>
      <c r="I67" t="s">
        <v>11</v>
      </c>
      <c r="J67" t="s">
        <v>12</v>
      </c>
      <c r="M67">
        <v>3</v>
      </c>
      <c r="N67" t="s">
        <v>181</v>
      </c>
      <c r="O67" t="s">
        <v>66</v>
      </c>
      <c r="P67" t="s">
        <v>12</v>
      </c>
    </row>
    <row r="68" spans="4:16" x14ac:dyDescent="0.25">
      <c r="D68" s="7">
        <f>_xlfn.XLOOKUP(E68,'[1]ECMS REFERENCE'!A:A,'[1]ECMS REFERENCE'!E:E,0)</f>
        <v>2.75</v>
      </c>
      <c r="E68" t="s">
        <v>182</v>
      </c>
      <c r="F68" t="s">
        <v>147</v>
      </c>
      <c r="G68" t="s">
        <v>11</v>
      </c>
      <c r="H68" t="s">
        <v>11</v>
      </c>
      <c r="I68" t="s">
        <v>11</v>
      </c>
      <c r="J68" t="s">
        <v>12</v>
      </c>
      <c r="M68">
        <v>3</v>
      </c>
      <c r="N68" t="s">
        <v>183</v>
      </c>
      <c r="O68" t="s">
        <v>66</v>
      </c>
      <c r="P68" t="s">
        <v>12</v>
      </c>
    </row>
    <row r="69" spans="4:16" x14ac:dyDescent="0.25">
      <c r="D69" s="7">
        <f>_xlfn.XLOOKUP(E69,'[1]ECMS REFERENCE'!A:A,'[1]ECMS REFERENCE'!E:E,0)</f>
        <v>2.75</v>
      </c>
      <c r="E69" t="s">
        <v>184</v>
      </c>
      <c r="F69" t="s">
        <v>147</v>
      </c>
      <c r="G69" t="s">
        <v>11</v>
      </c>
      <c r="H69" t="s">
        <v>11</v>
      </c>
      <c r="I69" t="s">
        <v>11</v>
      </c>
      <c r="J69" t="s">
        <v>12</v>
      </c>
      <c r="M69">
        <v>3</v>
      </c>
      <c r="N69" t="s">
        <v>185</v>
      </c>
      <c r="O69" t="s">
        <v>66</v>
      </c>
      <c r="P69" t="s">
        <v>12</v>
      </c>
    </row>
    <row r="70" spans="4:16" x14ac:dyDescent="0.25">
      <c r="D70" s="7">
        <f>_xlfn.XLOOKUP(E70,'[1]ECMS REFERENCE'!A:A,'[1]ECMS REFERENCE'!E:E,0)</f>
        <v>2.75</v>
      </c>
      <c r="E70" t="s">
        <v>186</v>
      </c>
      <c r="F70" t="s">
        <v>147</v>
      </c>
      <c r="G70" t="s">
        <v>11</v>
      </c>
      <c r="H70" t="s">
        <v>11</v>
      </c>
      <c r="I70" t="s">
        <v>11</v>
      </c>
      <c r="J70" t="s">
        <v>12</v>
      </c>
      <c r="M70">
        <v>3</v>
      </c>
      <c r="N70" t="s">
        <v>187</v>
      </c>
      <c r="O70" t="s">
        <v>66</v>
      </c>
      <c r="P70" t="s">
        <v>12</v>
      </c>
    </row>
    <row r="71" spans="4:16" x14ac:dyDescent="0.25">
      <c r="D71" s="7">
        <f>_xlfn.XLOOKUP(E71,'[1]ECMS REFERENCE'!A:A,'[1]ECMS REFERENCE'!E:E,0)</f>
        <v>2.75</v>
      </c>
      <c r="E71" t="s">
        <v>188</v>
      </c>
      <c r="F71" t="s">
        <v>147</v>
      </c>
      <c r="G71" t="s">
        <v>11</v>
      </c>
      <c r="H71" t="s">
        <v>11</v>
      </c>
      <c r="I71" t="s">
        <v>11</v>
      </c>
      <c r="J71" t="s">
        <v>12</v>
      </c>
      <c r="M71">
        <v>3</v>
      </c>
      <c r="N71" t="s">
        <v>189</v>
      </c>
      <c r="O71" t="s">
        <v>66</v>
      </c>
      <c r="P71" t="s">
        <v>114</v>
      </c>
    </row>
    <row r="72" spans="4:16" x14ac:dyDescent="0.25">
      <c r="D72" s="7">
        <f>_xlfn.XLOOKUP(E72,'[1]ECMS REFERENCE'!A:A,'[1]ECMS REFERENCE'!E:E,0)</f>
        <v>2.75</v>
      </c>
      <c r="E72" t="s">
        <v>190</v>
      </c>
      <c r="F72" t="s">
        <v>121</v>
      </c>
      <c r="G72" t="s">
        <v>11</v>
      </c>
      <c r="H72" t="s">
        <v>11</v>
      </c>
      <c r="I72" t="s">
        <v>11</v>
      </c>
      <c r="J72" t="s">
        <v>12</v>
      </c>
      <c r="M72">
        <v>3</v>
      </c>
      <c r="N72" t="s">
        <v>191</v>
      </c>
      <c r="O72" t="s">
        <v>66</v>
      </c>
      <c r="P72" t="s">
        <v>18</v>
      </c>
    </row>
    <row r="73" spans="4:16" x14ac:dyDescent="0.25">
      <c r="D73" s="7">
        <f>_xlfn.XLOOKUP(E73,'[1]ECMS REFERENCE'!A:A,'[1]ECMS REFERENCE'!E:E,0)</f>
        <v>2.75</v>
      </c>
      <c r="E73" s="8" t="s">
        <v>192</v>
      </c>
      <c r="F73" t="s">
        <v>147</v>
      </c>
      <c r="G73" t="s">
        <v>11</v>
      </c>
      <c r="H73" t="s">
        <v>11</v>
      </c>
      <c r="I73" t="s">
        <v>11</v>
      </c>
      <c r="J73" t="s">
        <v>12</v>
      </c>
      <c r="M73">
        <v>3</v>
      </c>
      <c r="N73" t="s">
        <v>193</v>
      </c>
      <c r="O73" t="s">
        <v>66</v>
      </c>
      <c r="P73" t="s">
        <v>12</v>
      </c>
    </row>
    <row r="74" spans="4:16" x14ac:dyDescent="0.25">
      <c r="D74" s="7">
        <f>_xlfn.XLOOKUP(E74,'[1]ECMS REFERENCE'!A:A,'[1]ECMS REFERENCE'!E:E,0)</f>
        <v>2.75</v>
      </c>
      <c r="E74" s="8" t="s">
        <v>194</v>
      </c>
      <c r="F74" t="s">
        <v>132</v>
      </c>
      <c r="G74" t="s">
        <v>11</v>
      </c>
      <c r="H74" t="s">
        <v>11</v>
      </c>
      <c r="I74" t="s">
        <v>11</v>
      </c>
      <c r="J74" t="s">
        <v>12</v>
      </c>
      <c r="M74">
        <v>3</v>
      </c>
      <c r="N74" t="s">
        <v>195</v>
      </c>
      <c r="O74" t="s">
        <v>66</v>
      </c>
      <c r="P74" t="s">
        <v>20</v>
      </c>
    </row>
    <row r="75" spans="4:16" x14ac:dyDescent="0.25">
      <c r="D75" s="7">
        <f>_xlfn.XLOOKUP(E75,'[1]ECMS REFERENCE'!A:A,'[1]ECMS REFERENCE'!E:E,0)</f>
        <v>2.75</v>
      </c>
      <c r="E75" s="8" t="s">
        <v>166</v>
      </c>
      <c r="F75" t="s">
        <v>147</v>
      </c>
      <c r="G75" t="s">
        <v>11</v>
      </c>
      <c r="H75" t="s">
        <v>11</v>
      </c>
      <c r="I75" t="s">
        <v>11</v>
      </c>
      <c r="J75" t="s">
        <v>12</v>
      </c>
      <c r="M75">
        <v>3</v>
      </c>
      <c r="N75" t="s">
        <v>196</v>
      </c>
      <c r="O75" t="s">
        <v>66</v>
      </c>
      <c r="P75" t="s">
        <v>12</v>
      </c>
    </row>
    <row r="76" spans="4:16" x14ac:dyDescent="0.25">
      <c r="D76" s="7">
        <f>_xlfn.XLOOKUP(E76,'[1]ECMS REFERENCE'!A:A,'[1]ECMS REFERENCE'!E:E,0)</f>
        <v>2.75</v>
      </c>
      <c r="E76" s="8" t="s">
        <v>192</v>
      </c>
      <c r="F76" t="s">
        <v>147</v>
      </c>
      <c r="G76" t="s">
        <v>11</v>
      </c>
      <c r="H76" t="s">
        <v>11</v>
      </c>
      <c r="I76" t="s">
        <v>11</v>
      </c>
      <c r="J76" t="s">
        <v>12</v>
      </c>
      <c r="M76">
        <v>3</v>
      </c>
      <c r="N76" t="s">
        <v>197</v>
      </c>
      <c r="O76" t="s">
        <v>66</v>
      </c>
      <c r="P76" t="s">
        <v>12</v>
      </c>
    </row>
    <row r="77" spans="4:16" x14ac:dyDescent="0.25">
      <c r="D77" s="7">
        <f>_xlfn.XLOOKUP(E77,'[1]ECMS REFERENCE'!A:A,'[1]ECMS REFERENCE'!E:E,0)</f>
        <v>2.75</v>
      </c>
      <c r="E77" s="8" t="s">
        <v>184</v>
      </c>
      <c r="F77" t="s">
        <v>147</v>
      </c>
      <c r="G77" t="s">
        <v>11</v>
      </c>
      <c r="H77" t="s">
        <v>11</v>
      </c>
      <c r="I77" t="s">
        <v>11</v>
      </c>
      <c r="J77" t="s">
        <v>12</v>
      </c>
      <c r="M77">
        <v>3</v>
      </c>
      <c r="N77" t="s">
        <v>198</v>
      </c>
      <c r="O77" t="s">
        <v>66</v>
      </c>
      <c r="P77" t="s">
        <v>114</v>
      </c>
    </row>
    <row r="78" spans="4:16" x14ac:dyDescent="0.25">
      <c r="D78" s="7">
        <f>_xlfn.XLOOKUP(E78,'[1]ECMS REFERENCE'!A:A,'[1]ECMS REFERENCE'!E:E,0)</f>
        <v>2.75</v>
      </c>
      <c r="E78" s="8" t="s">
        <v>199</v>
      </c>
      <c r="F78" t="s">
        <v>124</v>
      </c>
      <c r="G78" t="s">
        <v>11</v>
      </c>
      <c r="H78" t="s">
        <v>11</v>
      </c>
      <c r="I78" t="s">
        <v>11</v>
      </c>
      <c r="J78" t="s">
        <v>12</v>
      </c>
      <c r="M78">
        <v>3</v>
      </c>
      <c r="N78" t="s">
        <v>200</v>
      </c>
      <c r="O78" t="s">
        <v>66</v>
      </c>
      <c r="P78" t="s">
        <v>114</v>
      </c>
    </row>
    <row r="79" spans="4:16" x14ac:dyDescent="0.25">
      <c r="D79" s="7">
        <f>_xlfn.XLOOKUP(E79,'[1]ECMS REFERENCE'!A:A,'[1]ECMS REFERENCE'!E:E,0)</f>
        <v>2.75</v>
      </c>
      <c r="E79" s="8" t="s">
        <v>201</v>
      </c>
      <c r="F79" t="s">
        <v>124</v>
      </c>
      <c r="G79" t="s">
        <v>11</v>
      </c>
      <c r="H79" t="s">
        <v>11</v>
      </c>
      <c r="I79" t="s">
        <v>11</v>
      </c>
      <c r="J79" t="s">
        <v>12</v>
      </c>
      <c r="M79">
        <v>3</v>
      </c>
      <c r="N79" t="s">
        <v>202</v>
      </c>
      <c r="O79" t="s">
        <v>66</v>
      </c>
      <c r="P79" t="s">
        <v>20</v>
      </c>
    </row>
    <row r="80" spans="4:16" x14ac:dyDescent="0.25">
      <c r="D80" s="7">
        <f>_xlfn.XLOOKUP(E80,'[1]ECMS REFERENCE'!A:A,'[1]ECMS REFERENCE'!E:E,0)</f>
        <v>3</v>
      </c>
      <c r="E80" t="s">
        <v>203</v>
      </c>
      <c r="F80" t="s">
        <v>124</v>
      </c>
      <c r="G80" t="s">
        <v>11</v>
      </c>
      <c r="H80" t="s">
        <v>11</v>
      </c>
      <c r="I80" t="s">
        <v>11</v>
      </c>
      <c r="J80" t="s">
        <v>12</v>
      </c>
      <c r="M80">
        <v>3</v>
      </c>
      <c r="N80" t="s">
        <v>204</v>
      </c>
      <c r="O80" t="s">
        <v>66</v>
      </c>
      <c r="P80" t="s">
        <v>12</v>
      </c>
    </row>
    <row r="81" spans="4:16" x14ac:dyDescent="0.25">
      <c r="D81" s="7">
        <f>_xlfn.XLOOKUP(E81,'[1]ECMS REFERENCE'!A:A,'[1]ECMS REFERENCE'!E:E,0)</f>
        <v>3</v>
      </c>
      <c r="E81" t="s">
        <v>205</v>
      </c>
      <c r="F81" t="s">
        <v>206</v>
      </c>
      <c r="G81" t="s">
        <v>11</v>
      </c>
      <c r="H81" t="s">
        <v>11</v>
      </c>
      <c r="I81" t="s">
        <v>11</v>
      </c>
      <c r="J81" t="s">
        <v>12</v>
      </c>
      <c r="M81">
        <v>3</v>
      </c>
      <c r="N81" t="s">
        <v>207</v>
      </c>
      <c r="O81" t="s">
        <v>66</v>
      </c>
      <c r="P81" t="s">
        <v>20</v>
      </c>
    </row>
    <row r="82" spans="4:16" x14ac:dyDescent="0.25">
      <c r="D82" s="7">
        <f>_xlfn.XLOOKUP(E82,'[1]ECMS REFERENCE'!A:A,'[1]ECMS REFERENCE'!E:E,0)</f>
        <v>3</v>
      </c>
      <c r="E82" t="s">
        <v>208</v>
      </c>
      <c r="F82" t="s">
        <v>124</v>
      </c>
      <c r="G82" t="s">
        <v>11</v>
      </c>
      <c r="H82" t="s">
        <v>11</v>
      </c>
      <c r="I82" t="s">
        <v>11</v>
      </c>
      <c r="J82" t="s">
        <v>12</v>
      </c>
      <c r="M82">
        <v>3</v>
      </c>
      <c r="N82" t="s">
        <v>209</v>
      </c>
      <c r="O82" t="s">
        <v>66</v>
      </c>
      <c r="P82" t="s">
        <v>12</v>
      </c>
    </row>
    <row r="83" spans="4:16" x14ac:dyDescent="0.25">
      <c r="D83" s="7">
        <f>_xlfn.XLOOKUP(E83,'[1]ECMS REFERENCE'!A:A,'[1]ECMS REFERENCE'!E:E,0)</f>
        <v>3</v>
      </c>
      <c r="E83" t="s">
        <v>210</v>
      </c>
      <c r="F83" t="s">
        <v>147</v>
      </c>
      <c r="G83" t="s">
        <v>11</v>
      </c>
      <c r="H83" t="s">
        <v>11</v>
      </c>
      <c r="I83" t="s">
        <v>11</v>
      </c>
      <c r="J83" t="s">
        <v>12</v>
      </c>
      <c r="M83">
        <v>4</v>
      </c>
      <c r="N83" t="s">
        <v>211</v>
      </c>
      <c r="O83" t="s">
        <v>69</v>
      </c>
      <c r="P83" t="s">
        <v>12</v>
      </c>
    </row>
    <row r="84" spans="4:16" x14ac:dyDescent="0.25">
      <c r="D84" s="7">
        <f>_xlfn.XLOOKUP(E84,'[1]ECMS REFERENCE'!A:A,'[1]ECMS REFERENCE'!E:E,0)</f>
        <v>3</v>
      </c>
      <c r="E84" s="8" t="s">
        <v>212</v>
      </c>
      <c r="F84" t="s">
        <v>147</v>
      </c>
      <c r="G84" t="s">
        <v>11</v>
      </c>
      <c r="H84" t="s">
        <v>11</v>
      </c>
      <c r="I84" t="s">
        <v>11</v>
      </c>
      <c r="J84" t="s">
        <v>12</v>
      </c>
      <c r="M84">
        <v>4</v>
      </c>
      <c r="N84" t="s">
        <v>213</v>
      </c>
      <c r="O84" t="s">
        <v>69</v>
      </c>
      <c r="P84" t="s">
        <v>12</v>
      </c>
    </row>
    <row r="85" spans="4:16" x14ac:dyDescent="0.25">
      <c r="D85" s="7">
        <f>_xlfn.XLOOKUP(E85,'[1]ECMS REFERENCE'!A:A,'[1]ECMS REFERENCE'!E:E,0)</f>
        <v>3</v>
      </c>
      <c r="E85" s="8" t="s">
        <v>214</v>
      </c>
      <c r="F85" t="s">
        <v>147</v>
      </c>
      <c r="G85" t="s">
        <v>11</v>
      </c>
      <c r="H85" t="s">
        <v>11</v>
      </c>
      <c r="I85" t="s">
        <v>11</v>
      </c>
      <c r="J85" t="s">
        <v>12</v>
      </c>
      <c r="M85">
        <v>4</v>
      </c>
      <c r="N85" t="s">
        <v>215</v>
      </c>
      <c r="O85" t="s">
        <v>69</v>
      </c>
      <c r="P85" t="s">
        <v>12</v>
      </c>
    </row>
    <row r="86" spans="4:16" x14ac:dyDescent="0.25">
      <c r="D86" s="7">
        <f>_xlfn.XLOOKUP(E86,'[1]ECMS REFERENCE'!A:A,'[1]ECMS REFERENCE'!E:E,0)</f>
        <v>5</v>
      </c>
      <c r="E86" t="s">
        <v>216</v>
      </c>
      <c r="F86" t="s">
        <v>127</v>
      </c>
      <c r="G86" t="s">
        <v>11</v>
      </c>
      <c r="H86" t="s">
        <v>11</v>
      </c>
      <c r="I86" t="s">
        <v>11</v>
      </c>
      <c r="J86" t="s">
        <v>12</v>
      </c>
      <c r="M86">
        <v>4</v>
      </c>
      <c r="N86" t="s">
        <v>217</v>
      </c>
      <c r="O86" t="s">
        <v>69</v>
      </c>
      <c r="P86" t="s">
        <v>12</v>
      </c>
    </row>
    <row r="87" spans="4:16" x14ac:dyDescent="0.25">
      <c r="D87" s="10">
        <v>1</v>
      </c>
      <c r="E87" s="11" t="s">
        <v>218</v>
      </c>
      <c r="F87" t="s">
        <v>89</v>
      </c>
      <c r="G87" t="s">
        <v>17</v>
      </c>
      <c r="H87" t="s">
        <v>11</v>
      </c>
      <c r="I87" t="s">
        <v>11</v>
      </c>
      <c r="J87" t="s">
        <v>29</v>
      </c>
      <c r="M87">
        <v>4</v>
      </c>
      <c r="N87" t="s">
        <v>219</v>
      </c>
      <c r="O87" t="s">
        <v>69</v>
      </c>
      <c r="P87" t="s">
        <v>12</v>
      </c>
    </row>
    <row r="88" spans="4:16" x14ac:dyDescent="0.25">
      <c r="E88" s="12"/>
      <c r="M88">
        <v>4</v>
      </c>
      <c r="N88" t="s">
        <v>220</v>
      </c>
      <c r="O88" t="s">
        <v>69</v>
      </c>
      <c r="P88" t="s">
        <v>12</v>
      </c>
    </row>
    <row r="89" spans="4:16" x14ac:dyDescent="0.25">
      <c r="M89">
        <v>4</v>
      </c>
      <c r="N89" t="s">
        <v>221</v>
      </c>
      <c r="O89" t="s">
        <v>69</v>
      </c>
      <c r="P89" t="s">
        <v>12</v>
      </c>
    </row>
    <row r="90" spans="4:16" x14ac:dyDescent="0.25">
      <c r="M90">
        <v>4</v>
      </c>
      <c r="N90" t="s">
        <v>222</v>
      </c>
      <c r="O90" t="s">
        <v>69</v>
      </c>
      <c r="P90" t="s">
        <v>12</v>
      </c>
    </row>
    <row r="91" spans="4:16" x14ac:dyDescent="0.25">
      <c r="M91">
        <v>4</v>
      </c>
      <c r="N91" t="s">
        <v>223</v>
      </c>
      <c r="O91" t="s">
        <v>69</v>
      </c>
      <c r="P91" t="s">
        <v>12</v>
      </c>
    </row>
    <row r="92" spans="4:16" x14ac:dyDescent="0.25">
      <c r="M92">
        <v>4</v>
      </c>
      <c r="N92" t="s">
        <v>224</v>
      </c>
      <c r="O92" t="s">
        <v>69</v>
      </c>
      <c r="P92" t="s">
        <v>12</v>
      </c>
    </row>
    <row r="93" spans="4:16" x14ac:dyDescent="0.25">
      <c r="M93">
        <v>4</v>
      </c>
      <c r="N93" t="s">
        <v>225</v>
      </c>
      <c r="O93" t="s">
        <v>69</v>
      </c>
      <c r="P93" t="s">
        <v>12</v>
      </c>
    </row>
    <row r="94" spans="4:16" x14ac:dyDescent="0.25">
      <c r="M94">
        <v>4</v>
      </c>
      <c r="N94" t="s">
        <v>226</v>
      </c>
      <c r="O94" t="s">
        <v>69</v>
      </c>
      <c r="P94" t="s">
        <v>12</v>
      </c>
    </row>
    <row r="95" spans="4:16" x14ac:dyDescent="0.25">
      <c r="M95">
        <v>4</v>
      </c>
      <c r="N95" t="s">
        <v>227</v>
      </c>
      <c r="O95" t="s">
        <v>69</v>
      </c>
      <c r="P95" t="s">
        <v>12</v>
      </c>
    </row>
    <row r="96" spans="4:16" x14ac:dyDescent="0.25">
      <c r="M96">
        <v>5</v>
      </c>
      <c r="N96" t="s">
        <v>228</v>
      </c>
      <c r="O96" t="s">
        <v>11</v>
      </c>
      <c r="P96" t="s">
        <v>12</v>
      </c>
    </row>
    <row r="97" spans="13:16" x14ac:dyDescent="0.25">
      <c r="M97">
        <v>5</v>
      </c>
      <c r="N97" t="s">
        <v>229</v>
      </c>
      <c r="O97" t="s">
        <v>11</v>
      </c>
      <c r="P97" t="s">
        <v>12</v>
      </c>
    </row>
    <row r="98" spans="13:16" x14ac:dyDescent="0.25">
      <c r="M98">
        <v>5</v>
      </c>
      <c r="N98" t="s">
        <v>230</v>
      </c>
      <c r="O98" t="s">
        <v>11</v>
      </c>
      <c r="P98" t="s">
        <v>12</v>
      </c>
    </row>
    <row r="99" spans="13:16" x14ac:dyDescent="0.25">
      <c r="M99">
        <v>5</v>
      </c>
      <c r="N99" t="s">
        <v>231</v>
      </c>
      <c r="O99" t="s">
        <v>11</v>
      </c>
      <c r="P99" t="s">
        <v>12</v>
      </c>
    </row>
    <row r="100" spans="13:16" x14ac:dyDescent="0.25">
      <c r="M100">
        <v>5</v>
      </c>
      <c r="N100" t="s">
        <v>232</v>
      </c>
      <c r="O100" t="s">
        <v>11</v>
      </c>
      <c r="P100" t="s">
        <v>12</v>
      </c>
    </row>
    <row r="101" spans="13:16" x14ac:dyDescent="0.25">
      <c r="M101">
        <v>5</v>
      </c>
      <c r="N101" t="s">
        <v>233</v>
      </c>
      <c r="O101" t="s">
        <v>11</v>
      </c>
      <c r="P101" t="s">
        <v>12</v>
      </c>
    </row>
    <row r="102" spans="13:16" x14ac:dyDescent="0.25">
      <c r="M102">
        <v>5</v>
      </c>
      <c r="N102" t="s">
        <v>234</v>
      </c>
      <c r="O102" t="s">
        <v>11</v>
      </c>
      <c r="P102" t="s">
        <v>12</v>
      </c>
    </row>
    <row r="103" spans="13:16" x14ac:dyDescent="0.25">
      <c r="M103">
        <v>5</v>
      </c>
      <c r="N103" t="s">
        <v>235</v>
      </c>
      <c r="O103" t="s">
        <v>11</v>
      </c>
      <c r="P103" t="s">
        <v>12</v>
      </c>
    </row>
    <row r="104" spans="13:16" x14ac:dyDescent="0.25">
      <c r="M104">
        <v>5</v>
      </c>
      <c r="N104" t="s">
        <v>236</v>
      </c>
      <c r="O104" t="s">
        <v>11</v>
      </c>
      <c r="P104" t="s">
        <v>12</v>
      </c>
    </row>
    <row r="105" spans="13:16" x14ac:dyDescent="0.25">
      <c r="M105">
        <v>5</v>
      </c>
      <c r="N105" t="s">
        <v>237</v>
      </c>
      <c r="O105" t="s">
        <v>11</v>
      </c>
      <c r="P105" t="s">
        <v>12</v>
      </c>
    </row>
    <row r="106" spans="13:16" x14ac:dyDescent="0.25">
      <c r="M106">
        <v>5</v>
      </c>
      <c r="N106" t="s">
        <v>238</v>
      </c>
      <c r="O106" t="s">
        <v>11</v>
      </c>
      <c r="P106" t="s">
        <v>12</v>
      </c>
    </row>
    <row r="107" spans="13:16" x14ac:dyDescent="0.25">
      <c r="M107">
        <v>5</v>
      </c>
      <c r="N107" t="s">
        <v>239</v>
      </c>
      <c r="O107" t="s">
        <v>11</v>
      </c>
      <c r="P107" t="s">
        <v>12</v>
      </c>
    </row>
    <row r="108" spans="13:16" x14ac:dyDescent="0.25">
      <c r="N108" t="s">
        <v>240</v>
      </c>
      <c r="O108" t="s">
        <v>11</v>
      </c>
      <c r="P108" t="s">
        <v>12</v>
      </c>
    </row>
  </sheetData>
  <dataValidations count="4">
    <dataValidation type="list" allowBlank="1" showInputMessage="1" showErrorMessage="1" sqref="G20 G32 G22 G27:G30 G45:G48 G16:G17 G50 G6 G83:G84 G86:G87 G61:G81" xr:uid="{61CFE289-4D28-486E-BED0-2993F24B886E}">
      <formula1>$A$8:$A$10</formula1>
    </dataValidation>
    <dataValidation type="list" allowBlank="1" showInputMessage="1" showErrorMessage="1" sqref="H18:H21 G21 G51 G23:H26 G31:H31 G33:H39 G40:G43 G44:H44 G49 G52:H60 G2:H5 G7:H15 G18:G19 G82:H82 G85:H85 Q1 O2:O108" xr:uid="{4E066FC4-28BB-475F-BF33-473B897D9B7D}">
      <formula1>$A$18:$A$23</formula1>
    </dataValidation>
    <dataValidation type="list" allowBlank="1" showInputMessage="1" showErrorMessage="1" sqref="H45:H49 H22 H27:H30 H32 H40:H43 H51 I18:I49 I51:I60 I2:I5 H6:I6 I7:I15 H16:I17 H50:I50 I82 H83:I84 I85 H86:I87 H61:I81" xr:uid="{738DC27D-2FDE-4730-BFAC-01134DD0CFBC}">
      <formula1>$A$13:$A$14</formula1>
    </dataValidation>
    <dataValidation type="list" allowBlank="1" showInputMessage="1" showErrorMessage="1" sqref="J2:J67 R1 J69:J87 P2:P108" xr:uid="{84C815BB-0378-4FB3-BF62-38CF9564C5F3}">
      <formula1>$A$27:$A$40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C981F-EB43-47D2-A059-B19E55D77283}">
  <dimension ref="A1:G53"/>
  <sheetViews>
    <sheetView tabSelected="1" workbookViewId="0">
      <selection activeCell="B9" sqref="B9"/>
    </sheetView>
  </sheetViews>
  <sheetFormatPr defaultRowHeight="15" x14ac:dyDescent="0.25"/>
  <cols>
    <col min="1" max="1" width="25" bestFit="1" customWidth="1"/>
    <col min="2" max="2" width="42.7109375" bestFit="1" customWidth="1"/>
    <col min="4" max="4" width="34.5703125" bestFit="1" customWidth="1"/>
    <col min="6" max="6" width="22.7109375" bestFit="1" customWidth="1"/>
    <col min="7" max="7" width="37" bestFit="1" customWidth="1"/>
  </cols>
  <sheetData>
    <row r="1" spans="1:7" x14ac:dyDescent="0.25">
      <c r="A1" s="13" t="s">
        <v>241</v>
      </c>
      <c r="B1" s="13" t="s">
        <v>242</v>
      </c>
      <c r="C1" s="14"/>
      <c r="D1" s="15" t="s">
        <v>8</v>
      </c>
      <c r="E1" s="15"/>
      <c r="F1" s="15" t="s">
        <v>243</v>
      </c>
      <c r="G1" s="16" t="s">
        <v>244</v>
      </c>
    </row>
    <row r="2" spans="1:7" x14ac:dyDescent="0.25">
      <c r="A2" t="s">
        <v>245</v>
      </c>
      <c r="B2" t="s">
        <v>246</v>
      </c>
      <c r="D2" s="17" t="s">
        <v>247</v>
      </c>
      <c r="F2" t="s">
        <v>248</v>
      </c>
      <c r="G2" s="16" t="s">
        <v>249</v>
      </c>
    </row>
    <row r="3" spans="1:7" x14ac:dyDescent="0.25">
      <c r="A3" t="s">
        <v>250</v>
      </c>
      <c r="B3" t="s">
        <v>251</v>
      </c>
      <c r="D3" s="17" t="s">
        <v>252</v>
      </c>
      <c r="E3" s="17"/>
      <c r="F3" t="s">
        <v>253</v>
      </c>
      <c r="G3" s="16" t="s">
        <v>254</v>
      </c>
    </row>
    <row r="4" spans="1:7" x14ac:dyDescent="0.25">
      <c r="A4" t="s">
        <v>255</v>
      </c>
      <c r="B4" t="s">
        <v>256</v>
      </c>
      <c r="D4" s="17" t="s">
        <v>257</v>
      </c>
      <c r="E4" s="17"/>
      <c r="F4" t="s">
        <v>258</v>
      </c>
      <c r="G4" s="16" t="s">
        <v>259</v>
      </c>
    </row>
    <row r="5" spans="1:7" x14ac:dyDescent="0.25">
      <c r="A5" t="s">
        <v>260</v>
      </c>
      <c r="B5" t="s">
        <v>261</v>
      </c>
      <c r="D5" s="17" t="s">
        <v>262</v>
      </c>
      <c r="E5" s="17"/>
      <c r="F5" s="16" t="s">
        <v>11</v>
      </c>
      <c r="G5" s="16" t="s">
        <v>263</v>
      </c>
    </row>
    <row r="6" spans="1:7" x14ac:dyDescent="0.25">
      <c r="A6" t="s">
        <v>264</v>
      </c>
      <c r="B6" t="s">
        <v>265</v>
      </c>
      <c r="D6" s="16" t="s">
        <v>266</v>
      </c>
      <c r="E6" s="17"/>
      <c r="F6" s="16" t="s">
        <v>17</v>
      </c>
      <c r="G6" s="16" t="s">
        <v>267</v>
      </c>
    </row>
    <row r="7" spans="1:7" x14ac:dyDescent="0.25">
      <c r="A7" t="s">
        <v>268</v>
      </c>
      <c r="B7" t="s">
        <v>269</v>
      </c>
      <c r="D7" s="17" t="s">
        <v>270</v>
      </c>
      <c r="E7" s="17"/>
      <c r="F7" s="16" t="s">
        <v>271</v>
      </c>
      <c r="G7" s="16" t="s">
        <v>272</v>
      </c>
    </row>
    <row r="8" spans="1:7" x14ac:dyDescent="0.25">
      <c r="A8" t="s">
        <v>273</v>
      </c>
      <c r="B8" t="s">
        <v>274</v>
      </c>
      <c r="D8" s="16" t="s">
        <v>275</v>
      </c>
      <c r="E8" s="17"/>
    </row>
    <row r="9" spans="1:7" x14ac:dyDescent="0.25">
      <c r="A9" t="s">
        <v>276</v>
      </c>
      <c r="B9" t="s">
        <v>277</v>
      </c>
      <c r="D9" s="17" t="s">
        <v>278</v>
      </c>
      <c r="E9" s="17"/>
    </row>
    <row r="10" spans="1:7" x14ac:dyDescent="0.25">
      <c r="A10" t="s">
        <v>50</v>
      </c>
      <c r="B10" t="s">
        <v>279</v>
      </c>
      <c r="D10" s="17" t="s">
        <v>280</v>
      </c>
      <c r="E10" s="17"/>
    </row>
    <row r="11" spans="1:7" x14ac:dyDescent="0.25">
      <c r="A11" t="s">
        <v>206</v>
      </c>
      <c r="B11" t="s">
        <v>281</v>
      </c>
      <c r="D11" s="17" t="s">
        <v>282</v>
      </c>
      <c r="E11" s="17"/>
    </row>
    <row r="12" spans="1:7" x14ac:dyDescent="0.25">
      <c r="A12" t="s">
        <v>283</v>
      </c>
      <c r="B12" t="s">
        <v>284</v>
      </c>
      <c r="D12" s="17" t="s">
        <v>285</v>
      </c>
      <c r="E12" s="17"/>
    </row>
    <row r="13" spans="1:7" x14ac:dyDescent="0.25">
      <c r="A13" t="s">
        <v>286</v>
      </c>
      <c r="B13" t="s">
        <v>287</v>
      </c>
      <c r="D13" s="17" t="s">
        <v>210</v>
      </c>
    </row>
    <row r="14" spans="1:7" x14ac:dyDescent="0.25">
      <c r="A14" t="s">
        <v>75</v>
      </c>
      <c r="B14" t="s">
        <v>288</v>
      </c>
      <c r="E14" s="16"/>
    </row>
    <row r="15" spans="1:7" x14ac:dyDescent="0.25">
      <c r="A15" t="s">
        <v>289</v>
      </c>
      <c r="B15" t="s">
        <v>289</v>
      </c>
      <c r="D15" s="17" t="s">
        <v>290</v>
      </c>
      <c r="E15" s="16"/>
    </row>
    <row r="16" spans="1:7" x14ac:dyDescent="0.25">
      <c r="A16" t="s">
        <v>291</v>
      </c>
      <c r="B16" t="s">
        <v>292</v>
      </c>
      <c r="D16" s="17" t="s">
        <v>293</v>
      </c>
      <c r="E16" s="16"/>
    </row>
    <row r="17" spans="1:4" x14ac:dyDescent="0.25">
      <c r="A17" t="s">
        <v>85</v>
      </c>
      <c r="B17" t="s">
        <v>294</v>
      </c>
      <c r="D17" s="16"/>
    </row>
    <row r="18" spans="1:4" x14ac:dyDescent="0.25">
      <c r="A18" t="s">
        <v>295</v>
      </c>
      <c r="B18" t="s">
        <v>296</v>
      </c>
      <c r="D18" s="16"/>
    </row>
    <row r="19" spans="1:4" x14ac:dyDescent="0.25">
      <c r="A19" t="s">
        <v>297</v>
      </c>
      <c r="B19" t="s">
        <v>298</v>
      </c>
      <c r="D19" s="16"/>
    </row>
    <row r="20" spans="1:4" x14ac:dyDescent="0.25">
      <c r="A20" t="s">
        <v>299</v>
      </c>
      <c r="B20" t="s">
        <v>300</v>
      </c>
    </row>
    <row r="21" spans="1:4" x14ac:dyDescent="0.25">
      <c r="A21" t="s">
        <v>301</v>
      </c>
      <c r="B21" t="s">
        <v>302</v>
      </c>
    </row>
    <row r="22" spans="1:4" x14ac:dyDescent="0.25">
      <c r="A22" t="s">
        <v>303</v>
      </c>
      <c r="B22" t="s">
        <v>304</v>
      </c>
    </row>
    <row r="23" spans="1:4" x14ac:dyDescent="0.25">
      <c r="A23" t="s">
        <v>305</v>
      </c>
      <c r="B23" t="s">
        <v>306</v>
      </c>
    </row>
    <row r="24" spans="1:4" x14ac:dyDescent="0.25">
      <c r="A24" t="s">
        <v>132</v>
      </c>
      <c r="B24" t="s">
        <v>307</v>
      </c>
    </row>
    <row r="25" spans="1:4" x14ac:dyDescent="0.25">
      <c r="A25" t="s">
        <v>308</v>
      </c>
      <c r="B25" t="s">
        <v>308</v>
      </c>
    </row>
    <row r="26" spans="1:4" x14ac:dyDescent="0.25">
      <c r="A26" t="s">
        <v>309</v>
      </c>
      <c r="B26" t="s">
        <v>310</v>
      </c>
    </row>
    <row r="27" spans="1:4" x14ac:dyDescent="0.25">
      <c r="A27" t="s">
        <v>311</v>
      </c>
      <c r="B27" t="s">
        <v>312</v>
      </c>
    </row>
    <row r="28" spans="1:4" x14ac:dyDescent="0.25">
      <c r="A28" t="s">
        <v>79</v>
      </c>
      <c r="B28" t="s">
        <v>313</v>
      </c>
    </row>
    <row r="29" spans="1:4" x14ac:dyDescent="0.25">
      <c r="A29" t="s">
        <v>89</v>
      </c>
      <c r="B29" t="s">
        <v>275</v>
      </c>
    </row>
    <row r="30" spans="1:4" x14ac:dyDescent="0.25">
      <c r="A30" t="s">
        <v>147</v>
      </c>
      <c r="B30" t="s">
        <v>314</v>
      </c>
    </row>
    <row r="31" spans="1:4" x14ac:dyDescent="0.25">
      <c r="A31" t="s">
        <v>127</v>
      </c>
      <c r="B31" t="s">
        <v>315</v>
      </c>
    </row>
    <row r="32" spans="1:4" x14ac:dyDescent="0.25">
      <c r="A32" t="s">
        <v>316</v>
      </c>
      <c r="B32" t="s">
        <v>317</v>
      </c>
    </row>
    <row r="33" spans="1:2" x14ac:dyDescent="0.25">
      <c r="A33" t="s">
        <v>318</v>
      </c>
      <c r="B33" t="s">
        <v>319</v>
      </c>
    </row>
    <row r="34" spans="1:2" x14ac:dyDescent="0.25">
      <c r="A34" t="s">
        <v>320</v>
      </c>
      <c r="B34" t="s">
        <v>321</v>
      </c>
    </row>
    <row r="35" spans="1:2" x14ac:dyDescent="0.25">
      <c r="A35" t="s">
        <v>322</v>
      </c>
      <c r="B35" t="s">
        <v>323</v>
      </c>
    </row>
    <row r="36" spans="1:2" x14ac:dyDescent="0.25">
      <c r="A36" t="s">
        <v>140</v>
      </c>
      <c r="B36" t="s">
        <v>324</v>
      </c>
    </row>
    <row r="37" spans="1:2" x14ac:dyDescent="0.25">
      <c r="A37" t="s">
        <v>325</v>
      </c>
      <c r="B37" t="s">
        <v>326</v>
      </c>
    </row>
    <row r="38" spans="1:2" x14ac:dyDescent="0.25">
      <c r="A38" t="s">
        <v>327</v>
      </c>
      <c r="B38" t="s">
        <v>328</v>
      </c>
    </row>
    <row r="39" spans="1:2" x14ac:dyDescent="0.25">
      <c r="A39" t="s">
        <v>33</v>
      </c>
      <c r="B39" t="s">
        <v>329</v>
      </c>
    </row>
    <row r="40" spans="1:2" x14ac:dyDescent="0.25">
      <c r="A40" t="s">
        <v>330</v>
      </c>
      <c r="B40" t="s">
        <v>331</v>
      </c>
    </row>
    <row r="41" spans="1:2" x14ac:dyDescent="0.25">
      <c r="A41" t="s">
        <v>332</v>
      </c>
      <c r="B41" t="s">
        <v>333</v>
      </c>
    </row>
    <row r="42" spans="1:2" x14ac:dyDescent="0.25">
      <c r="A42" t="s">
        <v>334</v>
      </c>
      <c r="B42" t="s">
        <v>335</v>
      </c>
    </row>
    <row r="43" spans="1:2" x14ac:dyDescent="0.25">
      <c r="A43" t="s">
        <v>336</v>
      </c>
      <c r="B43" t="s">
        <v>337</v>
      </c>
    </row>
    <row r="44" spans="1:2" x14ac:dyDescent="0.25">
      <c r="A44" t="s">
        <v>121</v>
      </c>
      <c r="B44" t="s">
        <v>338</v>
      </c>
    </row>
    <row r="45" spans="1:2" x14ac:dyDescent="0.25">
      <c r="A45" t="s">
        <v>339</v>
      </c>
      <c r="B45" t="s">
        <v>340</v>
      </c>
    </row>
    <row r="46" spans="1:2" x14ac:dyDescent="0.25">
      <c r="A46" t="s">
        <v>109</v>
      </c>
      <c r="B46" t="s">
        <v>341</v>
      </c>
    </row>
    <row r="47" spans="1:2" x14ac:dyDescent="0.25">
      <c r="A47" t="s">
        <v>124</v>
      </c>
      <c r="B47" t="s">
        <v>342</v>
      </c>
    </row>
    <row r="48" spans="1:2" x14ac:dyDescent="0.25">
      <c r="A48" t="s">
        <v>343</v>
      </c>
      <c r="B48" t="s">
        <v>344</v>
      </c>
    </row>
    <row r="49" spans="1:2" x14ac:dyDescent="0.25">
      <c r="A49" t="s">
        <v>345</v>
      </c>
      <c r="B49" t="s">
        <v>346</v>
      </c>
    </row>
    <row r="50" spans="1:2" x14ac:dyDescent="0.25">
      <c r="A50" t="s">
        <v>347</v>
      </c>
      <c r="B50" t="s">
        <v>348</v>
      </c>
    </row>
    <row r="51" spans="1:2" x14ac:dyDescent="0.25">
      <c r="A51" t="s">
        <v>349</v>
      </c>
      <c r="B51" t="s">
        <v>350</v>
      </c>
    </row>
    <row r="52" spans="1:2" x14ac:dyDescent="0.25">
      <c r="A52" t="s">
        <v>351</v>
      </c>
      <c r="B52" t="s">
        <v>352</v>
      </c>
    </row>
    <row r="53" spans="1:2" x14ac:dyDescent="0.25">
      <c r="A53" t="s">
        <v>16</v>
      </c>
      <c r="B53" t="s">
        <v>353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STATUS REFERENCE</vt:lpstr>
      <vt:lpstr>REFEREMCE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 Eder</dc:creator>
  <cp:lastModifiedBy>Bil Eder</cp:lastModifiedBy>
  <dcterms:created xsi:type="dcterms:W3CDTF">2026-10-03T05:06:18Z</dcterms:created>
  <dcterms:modified xsi:type="dcterms:W3CDTF">2026-10-03T05:09:21Z</dcterms:modified>
</cp:coreProperties>
</file>